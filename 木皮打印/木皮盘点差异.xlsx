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F18FFA5-23EE-4CC1-ACCF-22AEF891316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木皮" sheetId="1" r:id="rId1"/>
    <sheet name="Sheet2" sheetId="4" r:id="rId2"/>
    <sheet name="Sheet4" sheetId="6" r:id="rId3"/>
    <sheet name="盘点" sheetId="3" r:id="rId4"/>
    <sheet name="原皮" sheetId="2" r:id="rId5"/>
  </sheets>
  <externalReferences>
    <externalReference r:id="rId6"/>
  </externalReferences>
  <definedNames>
    <definedName name="_xlnm._FilterDatabase" localSheetId="0" hidden="1">木皮!$A$1:$G$174</definedName>
    <definedName name="_xlnm._FilterDatabase" localSheetId="4" hidden="1">原皮!$A$1:$H$102</definedName>
    <definedName name="SR182_2C52" hidden="1">AssistSR([1]打样成品及半成品!$M$38:$N$39,1,1)</definedName>
    <definedName name="SR182_AD4B" hidden="1">AssistSR([1]打样成品及半成品!$M$38:$N$39,1,2)</definedName>
    <definedName name="SR182_F218" hidden="1">IF(ISNA([1]打样成品及半成品!$M$39),0,1)</definedName>
    <definedName name="仓库档案">#REF!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3" i="3"/>
</calcChain>
</file>

<file path=xl/sharedStrings.xml><?xml version="1.0" encoding="utf-8"?>
<sst xmlns="http://schemas.openxmlformats.org/spreadsheetml/2006/main" count="5115" uniqueCount="1200">
  <si>
    <t>编码</t>
  </si>
  <si>
    <t>数量（张）</t>
  </si>
  <si>
    <t>系统料号是否存在</t>
  </si>
  <si>
    <t>待处理问题</t>
  </si>
  <si>
    <t>文件名</t>
  </si>
  <si>
    <t>3402-49-WOCR3</t>
  </si>
  <si>
    <t>是</t>
  </si>
  <si>
    <t>拼好1</t>
  </si>
  <si>
    <t>3402-49-WOCY7</t>
  </si>
  <si>
    <t>3402-49-WOCR5</t>
  </si>
  <si>
    <t>3402-49-WOCG7</t>
  </si>
  <si>
    <t>否</t>
  </si>
  <si>
    <t>3402-49-WOCY5</t>
  </si>
  <si>
    <t>3402-49-WOCG9</t>
  </si>
  <si>
    <t>3402-49-WOCY9</t>
  </si>
  <si>
    <t>3402-49-WOCR7</t>
  </si>
  <si>
    <t>3402-49-WOCR9</t>
  </si>
  <si>
    <t>3402-49-WOC</t>
  </si>
  <si>
    <t>确认分色</t>
  </si>
  <si>
    <t>需要改裁</t>
  </si>
  <si>
    <t>3402-49-WOCY1</t>
  </si>
  <si>
    <t>3402-49-WOCY3</t>
  </si>
  <si>
    <t>3402-49-ROSR9</t>
  </si>
  <si>
    <t>拼好2</t>
  </si>
  <si>
    <t>3402-49-ROSR7</t>
  </si>
  <si>
    <t>3402-49-ROSR5</t>
  </si>
  <si>
    <t>3402-49-ROSY7</t>
  </si>
  <si>
    <t>3402-49-ROCR5</t>
  </si>
  <si>
    <t>3402-49-ROC</t>
  </si>
  <si>
    <t>R7</t>
  </si>
  <si>
    <t>3402-49-ROCR9</t>
  </si>
  <si>
    <t>3402-49-ROCR7</t>
  </si>
  <si>
    <t>3402-49-EUSR5</t>
  </si>
  <si>
    <t>拼好3</t>
  </si>
  <si>
    <t>3402-49-EUSY3</t>
  </si>
  <si>
    <t>3402-49-EUSR7</t>
  </si>
  <si>
    <t>3402-49-EUSY5</t>
  </si>
  <si>
    <t>3402-49-WNCY5</t>
  </si>
  <si>
    <t>3402-49-WNCY3</t>
  </si>
  <si>
    <t>3402-49-WOKY3</t>
  </si>
  <si>
    <t>3402-49-WOKY5</t>
  </si>
  <si>
    <t>3402-49-WNCR5</t>
  </si>
  <si>
    <t>3402-49-WNC</t>
  </si>
  <si>
    <t>不能分</t>
  </si>
  <si>
    <t>木皮尺寸宽需要改裁</t>
  </si>
  <si>
    <t>尺寸宽需要改裁</t>
  </si>
  <si>
    <t>3402-49-WNCR7/R9</t>
  </si>
  <si>
    <t>3402-49-WNCR7</t>
  </si>
  <si>
    <t>3402-49-WNCR9</t>
  </si>
  <si>
    <t>3402-49-WNCY7/Y9</t>
  </si>
  <si>
    <t>3402-49-WNCG9</t>
  </si>
  <si>
    <t>3402-49-WNCY7</t>
  </si>
  <si>
    <t>3402-49-ELCG9</t>
  </si>
  <si>
    <t>拼好4</t>
  </si>
  <si>
    <t>3402-49-ELCY7</t>
  </si>
  <si>
    <t>3402-49-ELCY5</t>
  </si>
  <si>
    <t>3402-49-ELCR5</t>
  </si>
  <si>
    <t>3402-49-ELCR7</t>
  </si>
  <si>
    <t>3402-49-ELCG8</t>
  </si>
  <si>
    <t>3402-49-ELC</t>
  </si>
  <si>
    <t>几张几张</t>
  </si>
  <si>
    <t>的杂皮</t>
  </si>
  <si>
    <t>3402-49-ELCR9</t>
  </si>
  <si>
    <t>山东退货平衡皮</t>
  </si>
  <si>
    <t>3402-49-WOS</t>
  </si>
  <si>
    <t>拼好5</t>
  </si>
  <si>
    <t>3402-49-WOSY3</t>
  </si>
  <si>
    <t>3402-49-WOSR5</t>
  </si>
  <si>
    <t>3402-49-WOSY1</t>
  </si>
  <si>
    <t>3402-49-WOSR3</t>
  </si>
  <si>
    <t>3402-49-WOSY7</t>
  </si>
  <si>
    <t>3402-49-WOSR7</t>
  </si>
  <si>
    <t>3402-48-TTorTB</t>
  </si>
  <si>
    <t>确认柚木种类，确认纹理，确认分色</t>
  </si>
  <si>
    <t>3400-48-JMFNS</t>
  </si>
  <si>
    <t>3402-48-MP</t>
  </si>
  <si>
    <t>确认纹理，确认分色</t>
  </si>
  <si>
    <t>平衡皮</t>
  </si>
  <si>
    <t>3400-49-JMVHY</t>
  </si>
  <si>
    <t>3402-49-BR</t>
  </si>
  <si>
    <t>拼好6</t>
  </si>
  <si>
    <t>3402-49-EL</t>
  </si>
  <si>
    <t>3402-49-WO</t>
  </si>
  <si>
    <t>3402-49-BEC</t>
  </si>
  <si>
    <t>3402-49-MPS</t>
  </si>
  <si>
    <t>3400-49-JMYHT</t>
  </si>
  <si>
    <t>3402-49-WN</t>
  </si>
  <si>
    <t>3400-49-JMVEU</t>
  </si>
  <si>
    <t>3402-49-WOK</t>
  </si>
  <si>
    <t>3400-49-JMBHT</t>
  </si>
  <si>
    <t>3402-49-WNB</t>
  </si>
  <si>
    <t>3400-49-JMVBS</t>
  </si>
  <si>
    <t>3400-49-JMVFY</t>
  </si>
  <si>
    <t>确认产品</t>
  </si>
  <si>
    <t>杂皮平衡皮</t>
  </si>
  <si>
    <t>拼好7</t>
  </si>
  <si>
    <t>山东退货</t>
  </si>
  <si>
    <t>皮</t>
  </si>
  <si>
    <t>3402-49-ROS-C</t>
  </si>
  <si>
    <t>c级</t>
  </si>
  <si>
    <t>无</t>
  </si>
  <si>
    <t>科技木</t>
  </si>
  <si>
    <t>拼好8</t>
  </si>
  <si>
    <t>3402-48-WNB</t>
  </si>
  <si>
    <t>老板样品</t>
  </si>
  <si>
    <t>库存木皮</t>
  </si>
  <si>
    <t>k</t>
  </si>
  <si>
    <t>3400-48-JMVFY</t>
  </si>
  <si>
    <t>3402-48-WNC</t>
  </si>
  <si>
    <t>3402-49-ROS</t>
  </si>
  <si>
    <t>3400-48-JMVHY</t>
  </si>
  <si>
    <t>3402-48-MPC</t>
  </si>
  <si>
    <t>3402-48-CH</t>
  </si>
  <si>
    <t>3400-48-JMVEU</t>
  </si>
  <si>
    <t>3402-48-WOS</t>
  </si>
  <si>
    <t>3400-49-ROS</t>
  </si>
  <si>
    <t>1.15新接收</t>
  </si>
  <si>
    <t>3400-49-WNB</t>
  </si>
  <si>
    <t>料号</t>
  </si>
  <si>
    <t>数量（m²）</t>
  </si>
  <si>
    <t>4402-49-WOCR3</t>
  </si>
  <si>
    <t>原木皮1</t>
  </si>
  <si>
    <t>4402-49-WOCY1</t>
  </si>
  <si>
    <t>4402-49-WOCR5</t>
  </si>
  <si>
    <t>4402-49-WOCY3</t>
  </si>
  <si>
    <t>4402-49-WOCR7</t>
  </si>
  <si>
    <t>4402-49-WOCR9</t>
  </si>
  <si>
    <t>4402-49-WOCY5</t>
  </si>
  <si>
    <t>4402-49-WOCY7</t>
  </si>
  <si>
    <t>4402-49-WOCG9</t>
  </si>
  <si>
    <t>4402-49-WOCR1</t>
  </si>
  <si>
    <t>4402-49-WOCY8</t>
  </si>
  <si>
    <t>4402-49-WOSR5</t>
  </si>
  <si>
    <t>原木皮2</t>
  </si>
  <si>
    <t>4402-49-WOSY5</t>
  </si>
  <si>
    <t>4402-49-WOSR3</t>
  </si>
  <si>
    <t>4402-49-WOSR7</t>
  </si>
  <si>
    <t>4402-49-WOSY7</t>
  </si>
  <si>
    <t>4402-49-WOSY3</t>
  </si>
  <si>
    <t>4402-49-WOSY1</t>
  </si>
  <si>
    <t>4402-49-WNBR7</t>
  </si>
  <si>
    <t>4402-49-ROCY5</t>
  </si>
  <si>
    <t>原木皮3</t>
  </si>
  <si>
    <t>4402-49-ROCY7</t>
  </si>
  <si>
    <t>4402-49-ROCR5</t>
  </si>
  <si>
    <t>4402-49-ROCY9</t>
  </si>
  <si>
    <t>4402-49-ROCR7</t>
  </si>
  <si>
    <t>4402-49-ROSR5</t>
  </si>
  <si>
    <t>原木皮4</t>
  </si>
  <si>
    <t>4402-49-ROSY5</t>
  </si>
  <si>
    <t>4402-49-ROSY7</t>
  </si>
  <si>
    <t>4402-49-ROSY3</t>
  </si>
  <si>
    <t>4402-49-ROSR7</t>
  </si>
  <si>
    <t>4402-49-ROSR1</t>
  </si>
  <si>
    <t>4402-49-ROSR3</t>
  </si>
  <si>
    <t>4402-49-WNCG9</t>
  </si>
  <si>
    <t>原木皮5</t>
  </si>
  <si>
    <t>4402-49-WNCR3</t>
  </si>
  <si>
    <t>4402-49-WNCY3</t>
  </si>
  <si>
    <t>4402-49-WNCR1</t>
  </si>
  <si>
    <t>4402-49-WNCY5</t>
  </si>
  <si>
    <t>4402-49-WNCY1</t>
  </si>
  <si>
    <t>4402-49-WNCR9</t>
  </si>
  <si>
    <t>4402-49-WNCY7</t>
  </si>
  <si>
    <t>4402-49-ELCY3</t>
  </si>
  <si>
    <t>原木皮6</t>
  </si>
  <si>
    <t>4402-49-ELCR5</t>
  </si>
  <si>
    <t>4402-49-ELCY7</t>
  </si>
  <si>
    <t>4402-49-ELCG9</t>
  </si>
  <si>
    <t>4402-49-ELCR9</t>
  </si>
  <si>
    <t>4402-49-ELCR7</t>
  </si>
  <si>
    <t>4402-49-ELCY5</t>
  </si>
  <si>
    <t>4402-49-ELCR3</t>
  </si>
  <si>
    <t>4402-49-EUSR9</t>
  </si>
  <si>
    <t>4402-49-EUSY7</t>
  </si>
  <si>
    <t>4402-49-EUSY9</t>
  </si>
  <si>
    <t>4402-49-EUSY5</t>
  </si>
  <si>
    <t>4402-49-EUSY3</t>
  </si>
  <si>
    <t>4402-49-EUSR7</t>
  </si>
  <si>
    <t>4402-49-EUSG9</t>
  </si>
  <si>
    <t>原木皮7</t>
  </si>
  <si>
    <t>4402-49-WOSR9</t>
  </si>
  <si>
    <t>4402-49-ROSR9</t>
  </si>
  <si>
    <t>4402-49-WNCR7</t>
  </si>
  <si>
    <t>4402-49-WNCR5</t>
  </si>
  <si>
    <t>4402-49-ROCR9</t>
  </si>
  <si>
    <t>cInvCode</t>
  </si>
  <si>
    <t>ItemId</t>
  </si>
  <si>
    <t>cBatch</t>
  </si>
  <si>
    <t>cVMIVenCode</t>
  </si>
  <si>
    <t>iSoType</t>
  </si>
  <si>
    <t>iSodid</t>
  </si>
  <si>
    <t>iQuantity</t>
  </si>
  <si>
    <t>3402-49-ROSR3-3045</t>
  </si>
  <si>
    <t>3402-49-WNCR7-5068</t>
  </si>
  <si>
    <t>3402-49-WOCR5-3074</t>
  </si>
  <si>
    <t>3402-49-WOCR7-1073</t>
  </si>
  <si>
    <t>3402-49-WOCR7-7065</t>
  </si>
  <si>
    <t>3402-49-WOCR9-7065</t>
  </si>
  <si>
    <t>3402-49-WOSY5-1013</t>
  </si>
  <si>
    <t>3402-491-WNC</t>
  </si>
  <si>
    <t>3402-48-A098-ZW-12-15-JA</t>
  </si>
  <si>
    <t>3402-48-A098-ZW-34-15-JA</t>
  </si>
  <si>
    <t>3402-48-BX-BS-11-1181</t>
  </si>
  <si>
    <t>3402-48-CA01-BB-34-15-KML</t>
  </si>
  <si>
    <t>3402-48-CA18-ZW-34-15-KML</t>
  </si>
  <si>
    <t>3402-48-CA28-SW-JA8</t>
  </si>
  <si>
    <t>3402-48-CA28-ZW-JA8-B</t>
  </si>
  <si>
    <t>3402-48-HHT-BS-11-1181</t>
  </si>
  <si>
    <t>3402-48-HNS-ZW-11-1181</t>
  </si>
  <si>
    <t>3402-48-HT-BS-11-1181</t>
  </si>
  <si>
    <t>3402-48-HX-BS-11-1181</t>
  </si>
  <si>
    <t>3402-48-MGL-ZW-11-1181</t>
  </si>
  <si>
    <t>3402-48-SQL-BS-11-1181</t>
  </si>
  <si>
    <t>3402-48-SXHHT-BS-11-1181</t>
  </si>
  <si>
    <t>3402-48-SZ-BS-11-1181</t>
  </si>
  <si>
    <t>3402-48-WM-BS-11-1181</t>
  </si>
  <si>
    <t>3402-48-YJL-BS-11-1181</t>
  </si>
  <si>
    <t>3402-48-YM-BS-11-1181</t>
  </si>
  <si>
    <t>3402-48-YT-BS-11-1181</t>
  </si>
  <si>
    <t>3402-492-A056-ZW-12-15-KML</t>
  </si>
  <si>
    <t>3402-492-A057-SW-12-15-KML</t>
  </si>
  <si>
    <t>3402-492-A058-ZW-12-15-KML</t>
  </si>
  <si>
    <t>3402-492-A059-SW-12-15-KML</t>
  </si>
  <si>
    <t>3402-492-A092-BS-15-KML-C</t>
  </si>
  <si>
    <t>3402-492-CA06-BS-12-15-KML</t>
  </si>
  <si>
    <t>3402-492-CA06-BS-34-15-KML</t>
  </si>
  <si>
    <t>3402-492-CA06-BS-34-15-KML-C</t>
  </si>
  <si>
    <t>3402-492-CA06-JB-34-15-KML</t>
  </si>
  <si>
    <t>3402-492-CA06-JB-34-15-KML-C</t>
  </si>
  <si>
    <t>3402-492-CA06-ZW-12-15-KML</t>
  </si>
  <si>
    <t>3402-492-CA06-ZW-34-15-KML</t>
  </si>
  <si>
    <t>3402-492-CA06-ZW-34-15-KML-C</t>
  </si>
  <si>
    <t>3402-492-CA07-BS-34-15-KML</t>
  </si>
  <si>
    <t>3402-492-CA07-BS-34-15-KML-C</t>
  </si>
  <si>
    <t>3402-492-CA18-ZW-12-15-KML-C</t>
  </si>
  <si>
    <t>3402-492-CA18-ZW-34-15-KML</t>
  </si>
  <si>
    <t>3402-492-CA18-ZW-34-15-KML-C</t>
  </si>
  <si>
    <t>3402-492-CA20-BS-34-15-KML</t>
  </si>
  <si>
    <t>3402-492-CA32-BS-12-15-KML-C</t>
  </si>
  <si>
    <t>3402-492-CA32-BS-34-15-KML</t>
  </si>
  <si>
    <t>3402-492-CA49-SW-KML-C</t>
  </si>
  <si>
    <t>3402-492-CKD003-ZW-DQ</t>
  </si>
  <si>
    <t>3402-492-CKD004-ZW-DQ</t>
  </si>
  <si>
    <t>3402-492-CKD005-ZW-DQ</t>
  </si>
  <si>
    <t>3402-492-CKD006-SW-DQ-C</t>
  </si>
  <si>
    <t>3402-492-CKD007-ZW-DQ</t>
  </si>
  <si>
    <t>3402-492-CKD008-ZW-DQ</t>
  </si>
  <si>
    <t>3402-492-CKD009-SW-DQ</t>
  </si>
  <si>
    <t>3402-492-CKD010-ZW-DQ-C</t>
  </si>
  <si>
    <t>3402-492-WOCR9-7065-BS-34-15-KML</t>
  </si>
  <si>
    <t>3402-493-CA23-ZW-PL4-C</t>
  </si>
  <si>
    <t>3402-493-CA34-ZW-PL4</t>
  </si>
  <si>
    <t>3402-49-BWS</t>
  </si>
  <si>
    <t>3402-49-BX-BS-12-1152</t>
  </si>
  <si>
    <t>3402-49-BX-BS-12-1326</t>
  </si>
  <si>
    <t>3402-49-BX-BS-34-1326</t>
  </si>
  <si>
    <t>3402-49-BX-ZW-12-1326</t>
  </si>
  <si>
    <t>3402-49-BX-ZW-12-1479</t>
  </si>
  <si>
    <t>3402-49-CA30-SW-1-2-15-SZ</t>
  </si>
  <si>
    <t>3402-49-ELCR3</t>
  </si>
  <si>
    <t>3402-49-ELCR3-3071</t>
  </si>
  <si>
    <t>3402-49-ELCR5-3072</t>
  </si>
  <si>
    <t>3402-49-ELCR7-9011</t>
  </si>
  <si>
    <t>3402-49-ELCR9-5004</t>
  </si>
  <si>
    <t>3402-49-ELCY3</t>
  </si>
  <si>
    <t>3402-49-EUSR9-5044</t>
  </si>
  <si>
    <t>3402-49-FXC</t>
  </si>
  <si>
    <t>3402-49-HHT-BBSW-34-1152</t>
  </si>
  <si>
    <t>3402-49-HHT-BBSW-34-1326</t>
  </si>
  <si>
    <t>3402-49-HHT-BS-12-1152</t>
  </si>
  <si>
    <t>3402-49-HHT-BS-34-1152-C</t>
  </si>
  <si>
    <t>3402-49-HHT-BS-34-1326-C</t>
  </si>
  <si>
    <t>3402-49-HHT-SW-12-1577</t>
  </si>
  <si>
    <t>3402-49-HX-ZW-34-1349</t>
  </si>
  <si>
    <t>3402-49-HX-ZW-34-1349-C</t>
  </si>
  <si>
    <t>3402-49-ROCR9-5075</t>
  </si>
  <si>
    <t>3402-49-ROSR7-9024</t>
  </si>
  <si>
    <t>3402-49-ROSR9-9010</t>
  </si>
  <si>
    <t>3402-49-ROSR9-9020</t>
  </si>
  <si>
    <t>3402-49-WNCB9</t>
  </si>
  <si>
    <t>3402-49-WNCR</t>
  </si>
  <si>
    <t>3402-49-WNCR3</t>
  </si>
  <si>
    <t>3402-49-WNCR3-5030</t>
  </si>
  <si>
    <t>3402-49-WNCR3-5030-C</t>
  </si>
  <si>
    <t>3402-49-WNCR5-5043</t>
  </si>
  <si>
    <t>3402-49-WNCR5-7053</t>
  </si>
  <si>
    <t>3402-49-WNCR7-5268</t>
  </si>
  <si>
    <t>3402-49-WNCR9-9001</t>
  </si>
  <si>
    <t>3402-49-WOCR5-3025</t>
  </si>
  <si>
    <t>3402-49-WOKR3-3017</t>
  </si>
  <si>
    <t>3402-49-WOKY7-3024</t>
  </si>
  <si>
    <t>3402-49-WOSR3-5015</t>
  </si>
  <si>
    <t>3402-49-WOSR9-9016</t>
  </si>
  <si>
    <t>3402-49-WOSY3-3117</t>
  </si>
  <si>
    <t>3402-49-YJL-ZW-34-1508</t>
  </si>
  <si>
    <t>3402-49-YM-BS-12-1152</t>
  </si>
  <si>
    <t>3402-49-YM-BS-34-1152-C</t>
  </si>
  <si>
    <t>3402-49-YM-BS-34-1480</t>
  </si>
  <si>
    <t>3402-49-FOGS360CS</t>
  </si>
  <si>
    <t>3402-49-OAKGS204S</t>
  </si>
  <si>
    <t>3402-49-TTGS302C</t>
  </si>
  <si>
    <t>3402-49-WNFGS1CS</t>
  </si>
  <si>
    <t>10636</t>
  </si>
  <si>
    <t>20251208</t>
  </si>
  <si>
    <t>0</t>
  </si>
  <si>
    <t>9011</t>
  </si>
  <si>
    <t>20251218</t>
  </si>
  <si>
    <t>8983</t>
  </si>
  <si>
    <t>20260119</t>
  </si>
  <si>
    <t>8984</t>
  </si>
  <si>
    <t>20251104</t>
  </si>
  <si>
    <t>20251110</t>
  </si>
  <si>
    <t>8986</t>
  </si>
  <si>
    <t>20250809</t>
  </si>
  <si>
    <t>9117</t>
  </si>
  <si>
    <t>20251225</t>
  </si>
  <si>
    <t>8985</t>
  </si>
  <si>
    <t>20260106</t>
  </si>
  <si>
    <t>9301</t>
  </si>
  <si>
    <t>20250915</t>
  </si>
  <si>
    <t>2727</t>
  </si>
  <si>
    <t>20241025</t>
  </si>
  <si>
    <t>2728</t>
  </si>
  <si>
    <t>7624</t>
  </si>
  <si>
    <t>20250517</t>
  </si>
  <si>
    <t>6712</t>
  </si>
  <si>
    <t>6713</t>
  </si>
  <si>
    <t>20250115</t>
  </si>
  <si>
    <t>5576</t>
  </si>
  <si>
    <t>5577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</si>
  <si>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</si>
  <si>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</si>
  <si>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</si>
  <si>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</si>
  <si>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</si>
  <si>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</si>
  <si>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</si>
  <si>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</si>
  <si>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</si>
  <si>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</si>
  <si>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</si>
  <si>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</si>
  <si>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6663</t>
  </si>
  <si>
    <t>20250317</t>
  </si>
  <si>
    <t>6664</t>
  </si>
  <si>
    <t>6665</t>
  </si>
  <si>
    <t>6666</t>
  </si>
  <si>
    <t>6714</t>
  </si>
  <si>
    <t>6723</t>
  </si>
  <si>
    <t>20250328</t>
  </si>
  <si>
    <t>6715</t>
  </si>
  <si>
    <t>6724</t>
  </si>
  <si>
    <t>6716</t>
  </si>
  <si>
    <t>6725</t>
  </si>
  <si>
    <t>6668</t>
  </si>
  <si>
    <t>20250320</t>
  </si>
  <si>
    <t>6669</t>
  </si>
  <si>
    <t>6670</t>
  </si>
  <si>
    <t>6726</t>
  </si>
  <si>
    <t>6727</t>
  </si>
  <si>
    <t>7585</t>
  </si>
  <si>
    <t>20250408</t>
  </si>
  <si>
    <t>6719</t>
  </si>
  <si>
    <t>20250416</t>
  </si>
  <si>
    <t>6728</t>
  </si>
  <si>
    <t>6720</t>
  </si>
  <si>
    <t>6730</t>
  </si>
  <si>
    <t>6722</t>
  </si>
  <si>
    <t>20250506</t>
  </si>
  <si>
    <t>6731</t>
  </si>
  <si>
    <t>5633</t>
  </si>
  <si>
    <t>5634</t>
  </si>
  <si>
    <t>5635</t>
  </si>
  <si>
    <t>6732</t>
  </si>
  <si>
    <t>5637</t>
  </si>
  <si>
    <t>5638</t>
  </si>
  <si>
    <t>5639</t>
  </si>
  <si>
    <t>6733</t>
  </si>
  <si>
    <t>8704</t>
  </si>
  <si>
    <t>20240711</t>
  </si>
  <si>
    <t>6734</t>
  </si>
  <si>
    <t>5652</t>
  </si>
  <si>
    <t>9377</t>
  </si>
  <si>
    <t>20250919</t>
  </si>
  <si>
    <t>7280</t>
  </si>
  <si>
    <t>20250430</t>
  </si>
  <si>
    <t>7281</t>
  </si>
  <si>
    <t>20250527</t>
  </si>
  <si>
    <t>20250614</t>
  </si>
  <si>
    <t>7989</t>
  </si>
  <si>
    <t>20250708</t>
  </si>
  <si>
    <t>7805</t>
  </si>
  <si>
    <t>7621</t>
  </si>
  <si>
    <t>20250515</t>
  </si>
  <si>
    <t>4320</t>
  </si>
  <si>
    <t>20240812</t>
  </si>
  <si>
    <t>8227</t>
  </si>
  <si>
    <t>2050726</t>
  </si>
  <si>
    <t>9452</t>
  </si>
  <si>
    <t>20250926</t>
  </si>
  <si>
    <t>20251114</t>
  </si>
  <si>
    <t>8228</t>
  </si>
  <si>
    <t>9453</t>
  </si>
  <si>
    <t>20260121</t>
  </si>
  <si>
    <t>9013</t>
  </si>
  <si>
    <t>20251223</t>
  </si>
  <si>
    <t>9963</t>
  </si>
  <si>
    <t>20260112</t>
  </si>
  <si>
    <t>8230</t>
  </si>
  <si>
    <t>9910</t>
  </si>
  <si>
    <t>20251015</t>
  </si>
  <si>
    <t>20251125</t>
  </si>
  <si>
    <t>20251128</t>
  </si>
  <si>
    <t>9378</t>
  </si>
  <si>
    <t>7296</t>
  </si>
  <si>
    <t>20250604</t>
  </si>
  <si>
    <t>7806</t>
  </si>
  <si>
    <t>20250615</t>
  </si>
  <si>
    <t>7321</t>
  </si>
  <si>
    <t>20250514</t>
  </si>
  <si>
    <t>7606</t>
  </si>
  <si>
    <t>7326</t>
  </si>
  <si>
    <t>20250508</t>
  </si>
  <si>
    <t>7728</t>
  </si>
  <si>
    <t>20250531</t>
  </si>
  <si>
    <t>20250622</t>
  </si>
  <si>
    <t>20250624</t>
  </si>
  <si>
    <t>7622</t>
  </si>
  <si>
    <t>20250516</t>
  </si>
  <si>
    <t>20250526</t>
  </si>
  <si>
    <t>7671</t>
  </si>
  <si>
    <t>9304</t>
  </si>
  <si>
    <t>9379</t>
  </si>
  <si>
    <t>10390</t>
  </si>
  <si>
    <t>20251126</t>
  </si>
  <si>
    <t>8102</t>
  </si>
  <si>
    <t>20250715</t>
  </si>
  <si>
    <t>9305</t>
  </si>
  <si>
    <t>20250922</t>
  </si>
  <si>
    <t>10391</t>
  </si>
  <si>
    <t>20260108</t>
  </si>
  <si>
    <t>8103</t>
  </si>
  <si>
    <t>20250717</t>
  </si>
  <si>
    <t>8290</t>
  </si>
  <si>
    <t>20250804</t>
  </si>
  <si>
    <t>8108</t>
  </si>
  <si>
    <t>20250730</t>
  </si>
  <si>
    <t>9935</t>
  </si>
  <si>
    <t>20251021</t>
  </si>
  <si>
    <t>10491</t>
  </si>
  <si>
    <t>8289</t>
  </si>
  <si>
    <t>9009</t>
  </si>
  <si>
    <t>20251103</t>
  </si>
  <si>
    <t>20251119</t>
  </si>
  <si>
    <t>9010</t>
  </si>
  <si>
    <t>20251209</t>
  </si>
  <si>
    <t>8109</t>
  </si>
  <si>
    <t>20250721</t>
  </si>
  <si>
    <t>20260120</t>
  </si>
  <si>
    <t>10806</t>
  </si>
  <si>
    <t>10548</t>
  </si>
  <si>
    <t>8110</t>
  </si>
  <si>
    <t>2050722</t>
  </si>
  <si>
    <t>9012</t>
  </si>
  <si>
    <t>20250820</t>
  </si>
  <si>
    <t>9858</t>
  </si>
  <si>
    <t>20251014</t>
  </si>
  <si>
    <t>10392</t>
  </si>
  <si>
    <t>8987</t>
  </si>
  <si>
    <t>9219</t>
  </si>
  <si>
    <t>20250904</t>
  </si>
  <si>
    <t>9133</t>
  </si>
  <si>
    <t>7263</t>
  </si>
  <si>
    <t>20250428</t>
  </si>
  <si>
    <t>7324</t>
  </si>
  <si>
    <t>7655</t>
  </si>
  <si>
    <t>202505018</t>
  </si>
  <si>
    <t>7819</t>
  </si>
  <si>
    <t>20250619</t>
  </si>
  <si>
    <t>9180</t>
  </si>
  <si>
    <t>20250902</t>
  </si>
  <si>
    <t>9181</t>
  </si>
  <si>
    <t>9182</t>
  </si>
  <si>
    <t>9183</t>
  </si>
  <si>
    <t>3400-49-JMKJM</t>
  </si>
  <si>
    <t>4402-410-ELCY5</t>
  </si>
  <si>
    <t>4402-48-HHT-SW-1090</t>
  </si>
  <si>
    <t>4402-49-BWSY1</t>
  </si>
  <si>
    <t>4402-49-BX-SW-34-1326</t>
  </si>
  <si>
    <t>4402-49-BX-ZW-12-1152</t>
  </si>
  <si>
    <t>4402-49-BX-ZW-12-1479</t>
  </si>
  <si>
    <t>4402-49-BX-ZW-1326-C</t>
  </si>
  <si>
    <t>4402-49-BX-ZW-34-1479</t>
  </si>
  <si>
    <t>4402-49-ELC</t>
  </si>
  <si>
    <t>4402-49-ELC-C</t>
  </si>
  <si>
    <t>4402-49-ELCG7</t>
  </si>
  <si>
    <t>4402-49-ELCY1</t>
  </si>
  <si>
    <t>4402-49-ELCY11</t>
  </si>
  <si>
    <t>4402-49-FZZMY-SW-1326</t>
  </si>
  <si>
    <t>4402-49-HHT-BBSW-WL</t>
  </si>
  <si>
    <t>4402-49-HHT-SW-1090</t>
  </si>
  <si>
    <t>4402-49-HHT-SW-12-1326</t>
  </si>
  <si>
    <t>4402-49-HHT-SW-34-1152</t>
  </si>
  <si>
    <t>4402-49-HHT-SW-34-1152-C</t>
  </si>
  <si>
    <t>4402-49-HHT-SW-34-1577</t>
  </si>
  <si>
    <t>4402-49-HX-ZW-12-1479</t>
  </si>
  <si>
    <t>4402-49-HX-ZW-1479-C</t>
  </si>
  <si>
    <t>4402-49-HX-ZW-34-1349-C</t>
  </si>
  <si>
    <t>4402-49-ROCY1</t>
  </si>
  <si>
    <t>4402-49-ROCY3</t>
  </si>
  <si>
    <t>4402-49-ROS-C</t>
  </si>
  <si>
    <t>4402-49-WNCR7-C</t>
  </si>
  <si>
    <t>4402-49-WOC</t>
  </si>
  <si>
    <t>4402-49-WOC-C</t>
  </si>
  <si>
    <t>4402-49-WOCG7</t>
  </si>
  <si>
    <t>4402-49-WOCY5-C</t>
  </si>
  <si>
    <t>4402-49-WOCY9</t>
  </si>
  <si>
    <t>4402-49-WOS</t>
  </si>
  <si>
    <t>4402-49-WOSR3-C</t>
  </si>
  <si>
    <t>4402-49-WOSY3-C</t>
  </si>
  <si>
    <t>4402-49-YJL-ZW-1508-C</t>
  </si>
  <si>
    <t>4402-49-YJL-ZW-34-1508</t>
  </si>
  <si>
    <t>4402-49-YM-SW-12-1480</t>
  </si>
  <si>
    <t>4402-49-YM-SW-1480</t>
  </si>
  <si>
    <t>4402-49-YM-SW-1480-C</t>
  </si>
  <si>
    <t>4402-49-YM-SW-34-1433</t>
  </si>
  <si>
    <t>行标签</t>
  </si>
  <si>
    <t>总计</t>
  </si>
  <si>
    <t>求和项:122</t>
  </si>
  <si>
    <t>4402-49-WNCY7</t>
    <phoneticPr fontId="6" type="noConversion"/>
  </si>
  <si>
    <t>4402-49-ROSR7</t>
    <phoneticPr fontId="6" type="noConversion"/>
  </si>
  <si>
    <t>4402-49-ELCR9</t>
    <phoneticPr fontId="6" type="noConversion"/>
  </si>
  <si>
    <t>4402-49-WNCR5</t>
    <phoneticPr fontId="6" type="noConversion"/>
  </si>
  <si>
    <t>4402-49-WNCY1</t>
    <phoneticPr fontId="6" type="noConversion"/>
  </si>
  <si>
    <t>3402-49-ROCR7</t>
    <phoneticPr fontId="6" type="noConversion"/>
  </si>
  <si>
    <t>R7</t>
    <phoneticPr fontId="6" type="noConversion"/>
  </si>
  <si>
    <t>3402-49-WOSR7</t>
    <phoneticPr fontId="6" type="noConversion"/>
  </si>
  <si>
    <t>3402-49-WNBR7</t>
  </si>
  <si>
    <t>3402-49-WNBR7</t>
    <phoneticPr fontId="6" type="noConversion"/>
  </si>
  <si>
    <t>Y7</t>
    <phoneticPr fontId="6" type="noConversion"/>
  </si>
  <si>
    <t>3402-49-WOKY7</t>
  </si>
  <si>
    <t>3402-49-WOKY7</t>
    <phoneticPr fontId="6" type="noConversion"/>
  </si>
  <si>
    <t>R9</t>
    <phoneticPr fontId="6" type="noConversion"/>
  </si>
  <si>
    <t>3402-49-WOSR9</t>
  </si>
  <si>
    <t>3402-49-WOSR9</t>
    <phoneticPr fontId="6" type="noConversion"/>
  </si>
  <si>
    <t>3402-49-WOSY7</t>
    <phoneticPr fontId="6" type="noConversion"/>
  </si>
  <si>
    <t>求和项:数量（张）</t>
  </si>
  <si>
    <t>求和项:求和项:数量（张）</t>
  </si>
  <si>
    <t>删除</t>
    <phoneticPr fontId="6" type="noConversion"/>
  </si>
  <si>
    <t>cInvName</t>
  </si>
  <si>
    <t>cInvStd</t>
  </si>
  <si>
    <t>cComUnitName</t>
  </si>
  <si>
    <t>4402-410-ELC</t>
  </si>
  <si>
    <t>天然木皮  榆木山纹  3080mm</t>
  </si>
  <si>
    <t>3080mm</t>
  </si>
  <si>
    <t>平方米</t>
  </si>
  <si>
    <t>天然木皮  榆木山纹  Y5 色号 3080mm</t>
  </si>
  <si>
    <t>4402-48-BX-SW-12-SZ</t>
  </si>
  <si>
    <t>天然木皮 白橡山纹 2500mm 1-2号色</t>
  </si>
  <si>
    <t>2500mm</t>
  </si>
  <si>
    <t>4402-48-BX-SW-12-TY</t>
  </si>
  <si>
    <t>4402-48-BX-SW-12-WF</t>
  </si>
  <si>
    <t>4402-48-BX-SW-12-WL</t>
  </si>
  <si>
    <t>4402-48-BX-SW-34-SZ</t>
  </si>
  <si>
    <t>天然木皮 白橡山纹 2500mm 3-4号色</t>
  </si>
  <si>
    <t>4402-48-BX-SW-34-TY</t>
  </si>
  <si>
    <t>4402-48-BX-SW-34-WF</t>
  </si>
  <si>
    <t>4402-48-BX-SW-34-WL</t>
  </si>
  <si>
    <t>4402-48-BX-SW-SZ</t>
  </si>
  <si>
    <t>天然木皮 白橡山纹 2500mm</t>
  </si>
  <si>
    <t>4402-48-BX-SW-TY</t>
  </si>
  <si>
    <t>4402-48-BX-SW-WF</t>
  </si>
  <si>
    <t>4402-48-BX-SW-WL</t>
  </si>
  <si>
    <t>4402-48-BX-ZW-12-SZ</t>
  </si>
  <si>
    <t>天然木皮 白橡直纹 2500mm 1-2号色</t>
  </si>
  <si>
    <t>4402-48-BX-ZW-12-TY</t>
  </si>
  <si>
    <t>4402-48-BX-ZW-12-WF</t>
  </si>
  <si>
    <t>4402-48-BX-ZW-12-WL</t>
  </si>
  <si>
    <t>4402-48-BX-ZW-34-SZ</t>
  </si>
  <si>
    <t>天然木皮 白橡直纹 2500mm 3-4号色</t>
  </si>
  <si>
    <t>4402-48-BX-ZW-34-TY</t>
  </si>
  <si>
    <t>4402-48-BX-ZW-34-WF</t>
  </si>
  <si>
    <t>4402-48-BX-ZW-34-WL</t>
  </si>
  <si>
    <t>4402-48-BX-ZW-SZ</t>
  </si>
  <si>
    <t>天然木皮 白橡直纹 2500mm</t>
  </si>
  <si>
    <t>4402-48-BX-ZW-TY</t>
  </si>
  <si>
    <t>4402-48-BX-ZW-WF</t>
  </si>
  <si>
    <t>4402-48-BX-ZW-WL</t>
  </si>
  <si>
    <t>4402-48-DM-ZW-12-HL</t>
  </si>
  <si>
    <t>天然木皮 椴木直纹 2500mm 1-2号色</t>
  </si>
  <si>
    <t>4402-48-DM-ZW-12-JY</t>
  </si>
  <si>
    <t>4402-48-DM-ZW-12-SZ</t>
  </si>
  <si>
    <t>4402-48-DM-ZW-34-HL</t>
  </si>
  <si>
    <t>天然木皮 椴木直纹 2500mm 3-4号色</t>
  </si>
  <si>
    <t>4402-48-DM-ZW-34-JY</t>
  </si>
  <si>
    <t>4402-48-DM-ZW-34-SZ</t>
  </si>
  <si>
    <t>4402-48-DM-ZW-HL</t>
  </si>
  <si>
    <t>天然木皮 椴木直纹 2500mm</t>
  </si>
  <si>
    <t>4402-48-DM-ZW-JY</t>
  </si>
  <si>
    <t>4402-48-DM-ZW-SZ</t>
  </si>
  <si>
    <t>4402-48-FZYM-ZW-1577</t>
  </si>
  <si>
    <t>天然木皮 非洲柚木直纹 2500mm（庚晟）</t>
  </si>
  <si>
    <t>4402-48-HHT-BBSW-12-CL</t>
  </si>
  <si>
    <t>天然木皮 黑胡桃白边山纹 2500mm 1-2号色</t>
  </si>
  <si>
    <t>4402-48-HHT-BBSW-12-TY</t>
  </si>
  <si>
    <t>4402-48-HHT-BBSW-12-WL</t>
  </si>
  <si>
    <t>4402-48-HHT-BBSW-34-CL</t>
  </si>
  <si>
    <t>天然木皮 黑胡桃白边山纹 2500mm 3-4号色</t>
  </si>
  <si>
    <t>4402-48-HHT-BBSW-34-TY</t>
  </si>
  <si>
    <t>4402-48-HHT-BBSW-34-WL</t>
  </si>
  <si>
    <t>4402-48-HHT-BBSW-CL</t>
  </si>
  <si>
    <t>天然木皮 黑胡桃白边山纹 2500mm</t>
  </si>
  <si>
    <t>4402-48-HHT-BBSW-TY</t>
  </si>
  <si>
    <t>4402-48-HHT-BBSW-WL</t>
  </si>
  <si>
    <t>天然木皮 黄胡桃山纹 2470mm （金迈）</t>
  </si>
  <si>
    <t>2470mm</t>
  </si>
  <si>
    <t>4402-48-HHT-SW-12-CL</t>
  </si>
  <si>
    <t>天然木皮 黑胡桃山纹 2500mm 1-2号色</t>
  </si>
  <si>
    <t>4402-48-HHT-SW-12-SZ</t>
  </si>
  <si>
    <t>4402-48-HHT-SW-12-TY</t>
  </si>
  <si>
    <t>4402-48-HHT-SW-12-WL</t>
  </si>
  <si>
    <t>4402-48-HHT-SW-34-CL</t>
  </si>
  <si>
    <t>天然木皮 黑胡桃山纹 2500mm 3-4号色</t>
  </si>
  <si>
    <t>4402-48-HHT-SW-34-SZ</t>
  </si>
  <si>
    <t>4402-48-HHT-SW-34-TY</t>
  </si>
  <si>
    <t>4402-48-HHT-SW-34-WL</t>
  </si>
  <si>
    <t>4402-48-HHT-SW-CL</t>
  </si>
  <si>
    <t>天然木皮 黑胡桃山纹 2500mm</t>
  </si>
  <si>
    <t>4402-48-HHT-SW-SZ</t>
  </si>
  <si>
    <t>4402-48-HHT-SW-TY</t>
  </si>
  <si>
    <t>4402-48-HHT-SW-WL</t>
  </si>
  <si>
    <t>4402-48-HX-SW-12-SZ</t>
  </si>
  <si>
    <t>天然木皮 红橡山纹 2500mm 1-2号色</t>
  </si>
  <si>
    <t>4402-48-HX-SW-12-TY</t>
  </si>
  <si>
    <t>4402-48-HX-SW-12-WF</t>
  </si>
  <si>
    <t>4402-48-HX-SW-12-WL</t>
  </si>
  <si>
    <t>4402-48-HX-SW-34-SZ</t>
  </si>
  <si>
    <t>天然木皮 红橡山纹 2500mm 3-4号色</t>
  </si>
  <si>
    <t>4402-48-HX-SW-34-TY</t>
  </si>
  <si>
    <t>4402-48-HX-SW-34-WF</t>
  </si>
  <si>
    <t>4402-48-HX-SW-34-WL</t>
  </si>
  <si>
    <t>4402-48-HX-SW-SZ</t>
  </si>
  <si>
    <t>天然木皮 红橡山纹 2500mm</t>
  </si>
  <si>
    <t>4402-48-HX-SW-TY</t>
  </si>
  <si>
    <t>4402-48-HX-SW-WF</t>
  </si>
  <si>
    <t>4402-48-HX-SW-WL</t>
  </si>
  <si>
    <t>4402-48-HX-ZW-12-SZ</t>
  </si>
  <si>
    <t>天然木皮 红橡直纹 2500mm 1-2号色</t>
  </si>
  <si>
    <t>4402-48-HX-ZW-12-TY</t>
  </si>
  <si>
    <t>4402-48-HX-ZW-12-WF</t>
  </si>
  <si>
    <t>4402-48-HX-ZW-12-WL</t>
  </si>
  <si>
    <t>4402-48-HX-ZW-34-SZ</t>
  </si>
  <si>
    <t>天然木皮 红橡直纹 2500mm 3-4号色</t>
  </si>
  <si>
    <t>4402-48-HX-ZW-34-TY</t>
  </si>
  <si>
    <t>4402-48-HX-ZW-34-WF</t>
  </si>
  <si>
    <t>4402-48-HX-ZW-34-WL</t>
  </si>
  <si>
    <t>4402-48-HX-ZW-SZ</t>
  </si>
  <si>
    <t>天然木皮 红橡直纹 2500mm</t>
  </si>
  <si>
    <t>4402-48-HX-ZW-TY</t>
  </si>
  <si>
    <t>4402-48-HX-ZW-WF</t>
  </si>
  <si>
    <t>4402-48-HX-ZW-WL</t>
  </si>
  <si>
    <t>4402-48-YJL-ZW-12-BM</t>
  </si>
  <si>
    <t>天然木皮 尤加利直纹 2500mm 1-2号色</t>
  </si>
  <si>
    <t>4402-48-YJL-ZW-12-WL</t>
  </si>
  <si>
    <t>4402-48-YJL-ZW-34-BM</t>
  </si>
  <si>
    <t>天然木皮 尤加利直纹 2500mm 3-4号色</t>
  </si>
  <si>
    <t>4402-48-YJL-ZW-34-WL</t>
  </si>
  <si>
    <t>4402-48-YJL-ZW-BM</t>
  </si>
  <si>
    <t>天然木皮 尤加利直纹 2500mm</t>
  </si>
  <si>
    <t>4402-48-YJL-ZW-WL</t>
  </si>
  <si>
    <t>4402-48-YM-BSW-12-DW</t>
  </si>
  <si>
    <t>天然木皮 榆木半山纹 2500mm 1-2号色</t>
  </si>
  <si>
    <t>4402-48-YM-BSW-12-HL</t>
  </si>
  <si>
    <t>4402-48-YM-BSW-12-JY</t>
  </si>
  <si>
    <t>4402-48-YM-BSW-34-DW</t>
  </si>
  <si>
    <t>天然木皮 榆木半山纹 2500mm 3-4号色</t>
  </si>
  <si>
    <t>4402-48-YM-BSW-34-HL</t>
  </si>
  <si>
    <t>4402-48-YM-BSW-34-JY</t>
  </si>
  <si>
    <t>4402-48-YM-BSW-DW</t>
  </si>
  <si>
    <t>天然木皮 榆木半山纹 2500mm</t>
  </si>
  <si>
    <t>4402-48-YM-BSW-HL</t>
  </si>
  <si>
    <t>4402-48-YM-BSW-JY</t>
  </si>
  <si>
    <t>4402-48-YM-SW-12-DW</t>
  </si>
  <si>
    <t>天然木皮 榆木山纹 2500mm 1-2号色</t>
  </si>
  <si>
    <t>4402-48-YM-SW-12-HL</t>
  </si>
  <si>
    <t>4402-48-YM-SW-12-JY</t>
  </si>
  <si>
    <t>4402-48-YM-SW-34-DW</t>
  </si>
  <si>
    <t>天然木皮 榆木山纹 2500mm 3-4号色</t>
  </si>
  <si>
    <t>4402-48-YM-SW-34-HL</t>
  </si>
  <si>
    <t>4402-48-YM-SW-34-JY</t>
  </si>
  <si>
    <t>4402-48-YM-SW-DW</t>
  </si>
  <si>
    <t>天然木皮 榆木山纹 2500mm</t>
  </si>
  <si>
    <t>4402-48-YM-SW-HL</t>
  </si>
  <si>
    <t>4402-48-YM-SW-JY</t>
  </si>
  <si>
    <t>4402-49-A056-SZ</t>
  </si>
  <si>
    <t>黄杨直纹49尺 42S AAA级</t>
  </si>
  <si>
    <t>1220*2745</t>
  </si>
  <si>
    <t>4402-49-A057-SZ</t>
  </si>
  <si>
    <t>黄杨山纹49尺 42S AAA级</t>
  </si>
  <si>
    <t>4402-49-A058-SZ</t>
  </si>
  <si>
    <t>乌金木直纹49尺 42S AAA级</t>
  </si>
  <si>
    <t>4402-49-A059-SZ</t>
  </si>
  <si>
    <t>乌金木山纹49尺 42S AAA级</t>
  </si>
  <si>
    <t>4402-49-A060-JA</t>
  </si>
  <si>
    <t>黄胡桃半山49尺 42S A级</t>
  </si>
  <si>
    <t>4402-49-A061-SZ</t>
  </si>
  <si>
    <t>天然木皮-白橡节疤49尺 45S AAA级</t>
  </si>
  <si>
    <t>4402-49-A062-JM</t>
  </si>
  <si>
    <t>天然木皮-红影直纹 49尺 50S AA级</t>
  </si>
  <si>
    <t>4402-49-A063-TY</t>
  </si>
  <si>
    <t>天然木皮-黑胡桃白边料49尺 42S A级</t>
  </si>
  <si>
    <t>4402-49-A063-WL</t>
  </si>
  <si>
    <t>天然木皮-黑胡桃白边料49尺 40S C级</t>
  </si>
  <si>
    <t>4402-49-A064-SC</t>
  </si>
  <si>
    <t>天然木皮-红橡直纹49尺 42S AA+级</t>
  </si>
  <si>
    <t>4402-49-A064-TY</t>
  </si>
  <si>
    <t>天然木皮-红橡直纹49尺 42S AA级</t>
  </si>
  <si>
    <t>4402-49-A064-WF</t>
  </si>
  <si>
    <t>4402-49-A064-WL</t>
  </si>
  <si>
    <t>天然木皮-红橡直纹49尺 40S AA级</t>
  </si>
  <si>
    <t>4402-49-A065-JA</t>
  </si>
  <si>
    <t>天然木皮-脱色黑胡桃49尺</t>
  </si>
  <si>
    <t>4402-49-A065-JA-QC</t>
  </si>
  <si>
    <t>天然木皮-脱色黑胡桃49尺(漂白）</t>
  </si>
  <si>
    <t>4402-49-A065-SZ</t>
  </si>
  <si>
    <t>天然木皮-白橡半山49尺 42S AA级</t>
  </si>
  <si>
    <t>4402-49-A065-TY</t>
  </si>
  <si>
    <t>4402-49-A065-WF</t>
  </si>
  <si>
    <t>4402-49-A065-WL</t>
  </si>
  <si>
    <t>天然木皮-白橡山纹49尺 40S A+</t>
  </si>
  <si>
    <t>4402-49-A066-DW</t>
  </si>
  <si>
    <t>天然木皮-榆木半山49尺 50S AA级</t>
  </si>
  <si>
    <t>4402-49-A066-HL</t>
  </si>
  <si>
    <t>4402-49-A066-JY</t>
  </si>
  <si>
    <t>天然木皮-榆木半山49尺 50S AA+级</t>
  </si>
  <si>
    <t>4402-49-A066-QH</t>
  </si>
  <si>
    <t>天然木皮-榆木半山49尺 45S AA级</t>
  </si>
  <si>
    <t>4402-49-A066-QH-QC</t>
  </si>
  <si>
    <t>天然木皮-榆木半山49尺 45S AA级(漂白）</t>
  </si>
  <si>
    <t>4402-49-A066-SZ</t>
  </si>
  <si>
    <t>天然木皮-榆木半山49尺 45S AAA级</t>
  </si>
  <si>
    <t>4402-49-A067-HL</t>
  </si>
  <si>
    <t>天然木皮-榆木半山49尺 50S AAA级</t>
  </si>
  <si>
    <t>4402-49-A067-JY</t>
  </si>
  <si>
    <t>4402-49-A068-SZ</t>
  </si>
  <si>
    <t>天然木皮-红橡半山49尺 42S AAA级</t>
  </si>
  <si>
    <t>4402-49-A068-TY</t>
  </si>
  <si>
    <t>天然木皮-红橡半山49尺 42S AA+级</t>
  </si>
  <si>
    <t>4402-49-A069-SZ</t>
  </si>
  <si>
    <t>天然木皮-白橡半山49尺 42S AAA级</t>
  </si>
  <si>
    <t>4402-49-A069-TY</t>
  </si>
  <si>
    <t>4402-49-A070-HF</t>
  </si>
  <si>
    <t>天然木皮-桐木山纹49尺 200S AAA级</t>
  </si>
  <si>
    <t>4402-49-A071-SZ</t>
  </si>
  <si>
    <t>天然木皮-红橡直纹49尺 45S AA+级</t>
  </si>
  <si>
    <t>4402-49-A072-SZ</t>
  </si>
  <si>
    <t>天然木皮-落叶松山纹49尺 60S AAA级</t>
  </si>
  <si>
    <t>4402-49-A073-SZ</t>
  </si>
  <si>
    <t>天然木皮-红橡直纹49尺 53S AA级</t>
  </si>
  <si>
    <t>4402-49-A075-SC</t>
  </si>
  <si>
    <t>天然木皮-红橡山纹49尺 42S AA级</t>
  </si>
  <si>
    <t>4402-49-A075-YP</t>
  </si>
  <si>
    <t>天然木皮-红橡山纹</t>
  </si>
  <si>
    <t>4402-49-A076-YP</t>
  </si>
  <si>
    <t>天然木皮-白榉山纹</t>
  </si>
  <si>
    <t>4402-49-A077-DL</t>
  </si>
  <si>
    <t>天然木皮-红榉山纹49尺50S AA级</t>
  </si>
  <si>
    <t>4402-49-A077-SZ</t>
  </si>
  <si>
    <t>天然木皮-红榉山纹49尺50S AA+级</t>
  </si>
  <si>
    <t>4402-49-A077-YP</t>
  </si>
  <si>
    <t>天然木皮-红榉山纹</t>
  </si>
  <si>
    <t>4402-49-A078-SC</t>
  </si>
  <si>
    <t>天然木皮-白橡直纹49尺 40S AA级</t>
  </si>
  <si>
    <t>4402-49-A078-SZ</t>
  </si>
  <si>
    <t>天然木皮-白橡直纹49尺 42S AA级</t>
  </si>
  <si>
    <t>4402-49-A078-SZ0</t>
  </si>
  <si>
    <t>天然木皮-白橡直纹49尺 42S AAA级</t>
  </si>
  <si>
    <t>4402-49-A078-SZ-C</t>
  </si>
  <si>
    <t>天然木皮-白橡直纹49尺 42S AA级(C类）</t>
  </si>
  <si>
    <t>4402-49-A078-TY</t>
  </si>
  <si>
    <t>天然木皮-白橡直纹49尺 42S A级</t>
  </si>
  <si>
    <t>4402-49-A078-WF</t>
  </si>
  <si>
    <t>4402-49-A078-WL</t>
  </si>
  <si>
    <t>4402-49-A079-CL</t>
  </si>
  <si>
    <t>天然木皮-黑胡桃半山49尺 42S AAA级</t>
  </si>
  <si>
    <t>4402-49-A079-SC</t>
  </si>
  <si>
    <t>天然木皮-黑胡桃半山49尺 42S AA级</t>
  </si>
  <si>
    <t>4402-49-A079-SZ</t>
  </si>
  <si>
    <t>4402-49-A079-TY</t>
  </si>
  <si>
    <t>4402-49-A079-WL</t>
  </si>
  <si>
    <t>天然木皮-黑胡桃半山49尺 40S AA级</t>
  </si>
  <si>
    <t>4402-49-A080-JY</t>
  </si>
  <si>
    <t>天然木皮-椴木直纹49尺42SAAA级</t>
  </si>
  <si>
    <t>4402-49-A080-SZ</t>
  </si>
  <si>
    <t>天然木皮-椴木直纹49尺42SAA+级</t>
  </si>
  <si>
    <t>4402-49-A080-YP</t>
  </si>
  <si>
    <t>天然木皮-椴木山纹</t>
  </si>
  <si>
    <t>4402-49-A081-YP</t>
  </si>
  <si>
    <t>天然木皮-枫木山纹</t>
  </si>
  <si>
    <t>4402-49-A082-YP</t>
  </si>
  <si>
    <t>天然木皮-桦木山纹</t>
  </si>
  <si>
    <t>4402-49-A083-YP</t>
  </si>
  <si>
    <t>天然木皮-白榉直纹</t>
  </si>
  <si>
    <t>4402-49-A084-YP</t>
  </si>
  <si>
    <t>天然木皮-红榉直纹</t>
  </si>
  <si>
    <t>4402-49-A085-YP</t>
  </si>
  <si>
    <t>天然木皮-椴木直纹</t>
  </si>
  <si>
    <t>4402-49-A086-YP</t>
  </si>
  <si>
    <t>天然木皮-枫木直纹</t>
  </si>
  <si>
    <t>4402-49-A087-YP</t>
  </si>
  <si>
    <t>天然木皮-桦木直纹</t>
  </si>
  <si>
    <t>4402-49-A088-YP</t>
  </si>
  <si>
    <t>天然木皮-椴木乱纹</t>
  </si>
  <si>
    <t>4402-49-A089-YP</t>
  </si>
  <si>
    <t>天然木皮-松木乱纹</t>
  </si>
  <si>
    <t>4402-49-A090-YP</t>
  </si>
  <si>
    <t>天然木皮-枫木乱纹</t>
  </si>
  <si>
    <t>4402-49-A091-CL</t>
  </si>
  <si>
    <t>天然木皮-黑胡桃半山49尺 42S AAA+级</t>
  </si>
  <si>
    <t>4402-49-A091-SC</t>
  </si>
  <si>
    <t>4402-49-A091-SZ</t>
  </si>
  <si>
    <t>4402-49-A092-WL</t>
  </si>
  <si>
    <t>4402-49-A093-WL</t>
  </si>
  <si>
    <t>天然木皮-白橡山纹49尺 40S A级</t>
  </si>
  <si>
    <t>4402-49-A094-WL</t>
  </si>
  <si>
    <t>天然木皮-白橡山纹49尺 40S AA级</t>
  </si>
  <si>
    <t>4402-49-A095-JA</t>
  </si>
  <si>
    <t>天然木皮-红橡直纹</t>
  </si>
  <si>
    <t>4402-49-A096-JA</t>
  </si>
  <si>
    <t>天然木皮-黑胡桃白边（金迈）</t>
  </si>
  <si>
    <t>4402-49-A097-SZ</t>
  </si>
  <si>
    <t>天然木皮-榆木直纹49尺 42S AAA级</t>
  </si>
  <si>
    <t>4402-49-A098-JA</t>
  </si>
  <si>
    <t>天然木皮-法国尼斯（金迈）</t>
  </si>
  <si>
    <t>NULL</t>
  </si>
  <si>
    <t>4402-49-A099-BM</t>
  </si>
  <si>
    <t>天然木皮-尤加利直纹49尺 45S AA级</t>
  </si>
  <si>
    <t>4402-49-A099-JA</t>
  </si>
  <si>
    <t>天然木皮-尤加利（金迈）</t>
  </si>
  <si>
    <t>4402-49-A099-WL</t>
  </si>
  <si>
    <t>天然木皮-尤加利直纹49尺 40S A级</t>
  </si>
  <si>
    <t>4402-49-ASHC</t>
  </si>
  <si>
    <t>天然木皮 白栓本色山纹 2800mm</t>
  </si>
  <si>
    <t>2800mm</t>
  </si>
  <si>
    <t>4402-49-BWS</t>
  </si>
  <si>
    <t>天然木皮椴木直纹 2800mm</t>
  </si>
  <si>
    <t>天然木皮椴木直纹 Y1 色号 2800mm</t>
  </si>
  <si>
    <t>4402-49-BXJB-SW-1326</t>
  </si>
  <si>
    <t>天然木皮 白橡结疤山纹 2800mm（盛正）</t>
  </si>
  <si>
    <t>张</t>
  </si>
  <si>
    <t>4402-49-BX-SW-1152</t>
  </si>
  <si>
    <t>天然木皮 白橡山纹 2800mm（沃伦）</t>
  </si>
  <si>
    <t>4402-49-BX-SW-12-1152</t>
  </si>
  <si>
    <t>天然木皮 白橡山纹  12800mm 1-2号色（沃伦）</t>
  </si>
  <si>
    <t>4402-49-BX-SW-12-1326</t>
  </si>
  <si>
    <t>天然木皮 白橡山纹 2800mm 1-2号色（盛正）</t>
  </si>
  <si>
    <t>4402-49-BX-SW-12-1479</t>
  </si>
  <si>
    <t>天然木皮 白橡山纹 2800mm 1-2号色（旺发）</t>
  </si>
  <si>
    <t>4402-49-BX-SW-12-SZ</t>
  </si>
  <si>
    <t>天然木皮 白橡山纹 2800mm 1-2号色</t>
  </si>
  <si>
    <t>4402-49-BX-SW-12-TY</t>
  </si>
  <si>
    <t>4402-49-BX-SW-12-WF</t>
  </si>
  <si>
    <t>4402-49-BX-SW-12-WL</t>
  </si>
  <si>
    <t>4402-49-BX-SW-1326</t>
  </si>
  <si>
    <t>天然木皮 白橡山纹 2800mm（盛正）</t>
  </si>
  <si>
    <t>4402-49-BX-SW-1479</t>
  </si>
  <si>
    <t>天然木皮 白橡山纹 2800mm（旺发）</t>
  </si>
  <si>
    <t>4402-49-BX-SW-34-1152</t>
  </si>
  <si>
    <t>天然木皮 白橡山纹 2800mm 3-4号色（沃伦）</t>
  </si>
  <si>
    <t>天然木皮 白橡山纹 2800mm 3-4号色（盛正）</t>
  </si>
  <si>
    <t>4402-49-BX-SW-34-1479</t>
  </si>
  <si>
    <t>天然木皮 白橡山纹 2800mm 3-4号色（旺发）</t>
  </si>
  <si>
    <t>4402-49-BX-SW-34-SZ</t>
  </si>
  <si>
    <t>天然木皮 白橡山纹 2800mm 3-4号色</t>
  </si>
  <si>
    <t>4402-49-BX-SW-34-TY</t>
  </si>
  <si>
    <t>4402-49-BX-SW-34-WF</t>
  </si>
  <si>
    <t>4402-49-BX-SW-34-WL</t>
  </si>
  <si>
    <t>4402-49-BX-SW-SZ</t>
  </si>
  <si>
    <t>天然木皮 白橡山纹 2800mm</t>
  </si>
  <si>
    <t>4402-49-BX-SW-TY</t>
  </si>
  <si>
    <t>4402-49-BX-SW-WF</t>
  </si>
  <si>
    <t>4402-49-BX-SW-WL</t>
  </si>
  <si>
    <t>4402-49-BX-ZW-1152</t>
  </si>
  <si>
    <t>天然木皮 白橡直纹 2800mm（沃伦）</t>
  </si>
  <si>
    <t>天然木皮 白橡直纹 2800mm 1-2号色（沃伦）</t>
  </si>
  <si>
    <t>天然木皮 白橡直纹 2800mm 1-2号色（旺发）</t>
  </si>
  <si>
    <t>4402-49-BX-ZW-12-SZ</t>
  </si>
  <si>
    <t>天然木皮 白橡直纹 2800mm 1-2号色</t>
  </si>
  <si>
    <t>4402-49-BX-ZW-12-TY</t>
  </si>
  <si>
    <t>4402-49-BX-ZW-12-WF</t>
  </si>
  <si>
    <t>4402-49-BX-ZW-12-WL</t>
  </si>
  <si>
    <t>4402-49-BX-ZW-1326</t>
  </si>
  <si>
    <t>天然木皮 白橡直纹 2800mm（盛正）</t>
  </si>
  <si>
    <t>天然木皮-白橡直纹49尺 42S AA级（盛正）(C类）</t>
  </si>
  <si>
    <t>4402-49-BX-ZW-1479</t>
  </si>
  <si>
    <t>天然木皮 白橡直纹 2800mm（旺发）</t>
  </si>
  <si>
    <t>4402-49-BX-ZW-1479-C</t>
  </si>
  <si>
    <t>天然木皮 红橡直纹 2800mm（旺发）(C类）</t>
  </si>
  <si>
    <t>天然木皮 白橡直纹 2800mm 3-4号色（旺发）</t>
  </si>
  <si>
    <t>4402-49-BX-ZW-34-SZ</t>
  </si>
  <si>
    <t>天然木皮 白橡直纹 2800mm 3-4号色</t>
  </si>
  <si>
    <t>4402-49-BX-ZW-34-TY</t>
  </si>
  <si>
    <t>4402-49-BX-ZW-34-WF</t>
  </si>
  <si>
    <t>4402-49-BX-ZW-34-WL</t>
  </si>
  <si>
    <t>4402-49-BX-ZW-SZ</t>
  </si>
  <si>
    <t>天然木皮 白橡直纹 2800mm</t>
  </si>
  <si>
    <t>4402-49-BX-ZW-TY</t>
  </si>
  <si>
    <t>4402-49-BX-ZW-WF</t>
  </si>
  <si>
    <t>4402-49-BX-ZW-WL</t>
  </si>
  <si>
    <t>4402-49-DM-ZW-12-HL</t>
  </si>
  <si>
    <t>天然木皮 椴木直纹 2800mm 1-2号色</t>
  </si>
  <si>
    <t>4402-49-DM-ZW-12-JY</t>
  </si>
  <si>
    <t>4402-49-DM-ZW-12-SZ</t>
  </si>
  <si>
    <t>4402-49-DM-ZW-34-HL</t>
  </si>
  <si>
    <t>天然木皮 椴木直纹 2800mm 3-4号色</t>
  </si>
  <si>
    <t>4402-49-DM-ZW-34-JY</t>
  </si>
  <si>
    <t>4402-49-DM-ZW-34-SZ</t>
  </si>
  <si>
    <t>4402-49-DM-ZW-HL</t>
  </si>
  <si>
    <t>天然木皮 椴木直纹 2800mm</t>
  </si>
  <si>
    <t>4402-49-DM-ZW-JY</t>
  </si>
  <si>
    <t>4402-49-DM-ZW-SZ</t>
  </si>
  <si>
    <t>天然木皮  榆木山纹  2800mm</t>
  </si>
  <si>
    <t>天然木皮 榆木山纹 2800mm C类</t>
  </si>
  <si>
    <t>天然木皮 榆木山纹 2800mm G7 色号</t>
  </si>
  <si>
    <t>天然木皮 榆木山纹 2800mm G 9色号</t>
  </si>
  <si>
    <t>4402-49-ELCR1</t>
  </si>
  <si>
    <t>天然木皮 榆木山纹 2800mm R1 色号</t>
  </si>
  <si>
    <t>天然木皮 榆木山纹 2800mm R3色号</t>
  </si>
  <si>
    <t>天然木皮 榆木山纹 2800mm R5色号</t>
  </si>
  <si>
    <t>天然木皮 榆木山纹 2800mm R 7色号</t>
  </si>
  <si>
    <t>天然木皮 榆木山纹 2800mm R9色号</t>
  </si>
  <si>
    <t>天然木皮 榆木山纹 2800mm Y 1色号</t>
  </si>
  <si>
    <t>天然木皮 榆木山纹 2800mm G11 色号</t>
  </si>
  <si>
    <t>天然木皮 榆木山纹 2800mm Y 3色号</t>
  </si>
  <si>
    <t>天然木皮 榆木山纹 2800mm Y 5色号</t>
  </si>
  <si>
    <t>天然木皮 榆木山纹 2800mm Y 7色号</t>
  </si>
  <si>
    <t>4402-49-ELCY9</t>
  </si>
  <si>
    <t>天然木皮 榆木山纹 2800mm Y 9色号</t>
  </si>
  <si>
    <t>4402-49-EUS</t>
  </si>
  <si>
    <t>天然木皮 尤加利直纹 2800mm</t>
  </si>
  <si>
    <t>天然木皮 尤加利直纹 2800mm R9色号</t>
  </si>
  <si>
    <t>盘点加入20260108</t>
  </si>
  <si>
    <t>天然木皮 尤加利直纹 2800mm Y 5色号</t>
  </si>
  <si>
    <t>4402-49-FXC</t>
  </si>
  <si>
    <t>天然木皮 水曲柳山纹 2800mm</t>
  </si>
  <si>
    <t>4402-49-FZYM-ZW-1577</t>
  </si>
  <si>
    <t>天然木皮 非洲柚木直纹 2800mm（庚晟）</t>
  </si>
  <si>
    <t>4402-49-FZZMY-SW-12-1326</t>
  </si>
  <si>
    <t>天然木皮 非洲杂木影山纹 2800mm 1-2号色（盛正）</t>
  </si>
  <si>
    <t>天然木皮 非洲杂木影山纹 2800mm（盛正）</t>
  </si>
  <si>
    <t>4402-49-FZZMY-SW-34-1326</t>
  </si>
  <si>
    <t>天然木皮 非洲杂木影山纹 2800mm 3-4号色（盛正）</t>
  </si>
  <si>
    <t>4402-49-FZZMY-SW-SZ</t>
  </si>
  <si>
    <t>4402-49-HHT-BBSW-12-CL</t>
  </si>
  <si>
    <t>天然木皮 黑胡桃白边山纹 2800mm 1-2号色</t>
  </si>
  <si>
    <t>4402-49-HHT-BBSW-12-TY</t>
  </si>
  <si>
    <t>4402-49-HHT-BBSW-12-WL</t>
  </si>
  <si>
    <t>4402-49-HHT-BBSW-34-1152</t>
  </si>
  <si>
    <t>天然木皮 黑胡桃白边山纹 2800mm 3-4号色（沃伦）</t>
  </si>
  <si>
    <t>4402-49-HHT-BBSW-34-1326</t>
  </si>
  <si>
    <t>天然木皮 黑胡桃白边山纹 2800mm 3-4号色（盛正）</t>
  </si>
  <si>
    <t>4402-49-HHT-BBSW-34-CL</t>
  </si>
  <si>
    <t>天然木皮 黑胡桃白边山纹 2800mm 3-4号色</t>
  </si>
  <si>
    <t>4402-49-HHT-BBSW-34-TY</t>
  </si>
  <si>
    <t>4402-49-HHT-BBSW-34-WL</t>
  </si>
  <si>
    <t>4402-49-HHT-BBSW-CL</t>
  </si>
  <si>
    <t>天然木皮 黑胡桃白边山纹 2800mm</t>
  </si>
  <si>
    <t>4402-49-HHT-BBSW-TY</t>
  </si>
  <si>
    <t>天然木皮 黄胡桃山纹 2800mm （金迈）</t>
  </si>
  <si>
    <t>4402-49-HHT-SW-11577</t>
  </si>
  <si>
    <t>天然木皮 黑胡桃山纹 2800mm（庚晟）</t>
  </si>
  <si>
    <t>4402-49-HHT-SW-11577-C</t>
  </si>
  <si>
    <t>天然木皮 黑胡桃山纹 2800mm（庚晟）(C类）</t>
  </si>
  <si>
    <t>4402-49-HHT-SW-12-1090</t>
  </si>
  <si>
    <t>天然木皮 黄胡桃山纹 2800mm 1-2号色（金迈）</t>
  </si>
  <si>
    <t>4402-49-HHT-SW-12-1152</t>
  </si>
  <si>
    <t>天然木皮 黑胡桃山纹 2800mm 1-2号色（沃伦）</t>
  </si>
  <si>
    <t>天然木皮 黑胡桃山纹 2800mm 1-2号色（盛正）</t>
  </si>
  <si>
    <t>4402-49-HHT-SW-12-1577</t>
  </si>
  <si>
    <t>天然木皮 黑胡桃山纹 2800mm 1-2号色（庚晟）</t>
  </si>
  <si>
    <t>4402-49-HHT-SW-12-CL</t>
  </si>
  <si>
    <t>天然木皮 黑胡桃山纹 2800mm 1-2号色</t>
  </si>
  <si>
    <t>4402-49-HHT-SW-12-SZ</t>
  </si>
  <si>
    <t>4402-49-HHT-SW-12-TY</t>
  </si>
  <si>
    <t>4402-49-HHT-SW-12-WL</t>
  </si>
  <si>
    <t>4402-49-HHT-SW-1326</t>
  </si>
  <si>
    <t>天然木皮 黑胡桃山纹 2800mm（盛正）</t>
  </si>
  <si>
    <t>4402-49-HHT-SW-34-1090</t>
  </si>
  <si>
    <t>天然木皮 黄胡桃山纹 2800mm 3-4号色（金迈）</t>
  </si>
  <si>
    <t>天然木皮 黑胡桃山纹 2800mm 3-4号色（沃伦）</t>
  </si>
  <si>
    <t>天然木皮 黑胡桃山纹 2800mm 3-4号色（沃伦）(C类）</t>
  </si>
  <si>
    <t>4402-49-HHT-SW-34-1326</t>
  </si>
  <si>
    <t>天然木皮 黑胡桃山纹 2800mm 3-4号色（盛正）</t>
  </si>
  <si>
    <t>天然木皮 黑胡桃山纹 2800mm 3-4号色（庚晟）</t>
  </si>
  <si>
    <t>4402-49-HHT-SW-34-1577-C</t>
  </si>
  <si>
    <t>天然木皮 黑胡桃山纹 2800mm 3-4号色（庚晟）(C类）</t>
  </si>
  <si>
    <t>4402-49-HHT-SW-34-CL</t>
  </si>
  <si>
    <t>天然木皮 黑胡桃山纹 2800mm 3-4号色</t>
  </si>
  <si>
    <t>4402-49-HHT-SW-34-SZ</t>
  </si>
  <si>
    <t>4402-49-HHT-SW-34-TY</t>
  </si>
  <si>
    <t>4402-49-HHT-SW-34-WL</t>
  </si>
  <si>
    <t>4402-49-HHT-SW-CL</t>
  </si>
  <si>
    <t>天然木皮 黑胡桃山纹 2800mm</t>
  </si>
  <si>
    <t>4402-49-HHT-SW-SZ</t>
  </si>
  <si>
    <t>4402-49-HHT-SW-TY</t>
  </si>
  <si>
    <t>4402-49-HHT-SW-WL</t>
  </si>
  <si>
    <t>4402-49-HX-SW-12-SZ</t>
  </si>
  <si>
    <t>天然木皮 红橡山纹 2800mm 1-2号色</t>
  </si>
  <si>
    <t>4402-49-HX-SW-12-TY</t>
  </si>
  <si>
    <t>4402-49-HX-SW-12-WF</t>
  </si>
  <si>
    <t>4402-49-HX-SW-12-WL</t>
  </si>
  <si>
    <t>4402-49-HX-SW-34-SZ</t>
  </si>
  <si>
    <t>天然木皮 红橡山纹 2800mm 3-4号色</t>
  </si>
  <si>
    <t>4402-49-HX-SW-34-TY</t>
  </si>
  <si>
    <t>4402-49-HX-SW-34-WF</t>
  </si>
  <si>
    <t>4402-49-HX-SW-34-WL</t>
  </si>
  <si>
    <t>4402-49-HX-SW-SZ</t>
  </si>
  <si>
    <t>天然木皮 红橡山纹 2800mm</t>
  </si>
  <si>
    <t>4402-49-HX-SW-TY</t>
  </si>
  <si>
    <t>4402-49-HX-SW-WF</t>
  </si>
  <si>
    <t>4402-49-HX-SW-WL</t>
  </si>
  <si>
    <t>4402-49-HX-ZW-1152</t>
  </si>
  <si>
    <t>天然木皮 红橡直纹 2800mm（沃伦）</t>
  </si>
  <si>
    <t>4402-49-HX-ZW-12-1152</t>
  </si>
  <si>
    <t>天然木皮 红橡直纹 2800mm 1-2号色（沃伦）</t>
  </si>
  <si>
    <t>4402-49-HX-ZW-12-1349</t>
  </si>
  <si>
    <t>天然木皮 红橡直纹 2800mm 1-2号色(森成）</t>
  </si>
  <si>
    <t>天然木皮 红橡直纹 2800mm 1-2号色（旺发）</t>
  </si>
  <si>
    <t>4402-49-HX-ZW-12-SZ</t>
  </si>
  <si>
    <t>天然木皮 红橡直纹 2800mm 1-2号色</t>
  </si>
  <si>
    <t>4402-49-HX-ZW-12-TY</t>
  </si>
  <si>
    <t>4402-49-HX-ZW-12-WF</t>
  </si>
  <si>
    <t>4402-49-HX-ZW-12-WL</t>
  </si>
  <si>
    <t>4402-49-HX-ZW-1349</t>
  </si>
  <si>
    <t>天然木皮 红橡直纹 2800mm(森成）</t>
  </si>
  <si>
    <t>4402-49-HX-ZW-34-1152</t>
  </si>
  <si>
    <t>天然木皮 红橡直纹 2800mm 3-4号色（沃伦）</t>
  </si>
  <si>
    <t>4402-49-HX-ZW-34-1349</t>
  </si>
  <si>
    <t>天然木皮 红橡直纹 2800mm 3-4号色(森成）</t>
  </si>
  <si>
    <t>天然木皮 红橡直纹 2800mm(森成）(C类）</t>
  </si>
  <si>
    <t>4402-49-HX-ZW-34-1479</t>
  </si>
  <si>
    <t>天然木皮 红橡直纹 2800mm 3-4号色（旺发）</t>
  </si>
  <si>
    <t>4402-49-HX-ZW-34-SZ</t>
  </si>
  <si>
    <t>天然木皮 红橡直纹 2800mm 3-4号色</t>
  </si>
  <si>
    <t>4402-49-HX-ZW-34-TY</t>
  </si>
  <si>
    <t>4402-49-HX-ZW-34-WF</t>
  </si>
  <si>
    <t>4402-49-HX-ZW-34-WL</t>
  </si>
  <si>
    <t>4402-49-HX-ZW-SC</t>
  </si>
  <si>
    <t>4402-49-HX-ZW-SZ</t>
  </si>
  <si>
    <t>天然木皮 红橡直纹 2800mm</t>
  </si>
  <si>
    <t>4402-49-HX-ZW-TY</t>
  </si>
  <si>
    <t>4402-49-HX-ZW-WF</t>
  </si>
  <si>
    <t>4402-49-HX-ZW-WF-C</t>
  </si>
  <si>
    <t>天然木皮 红橡直纹 2800mm(C类）</t>
  </si>
  <si>
    <t>4402-49-HX-ZW-WL</t>
  </si>
  <si>
    <t>4402-49-MDYM-ZW-1326</t>
  </si>
  <si>
    <t>天然木皮 缅甸柚木直纹 2800mm（盛正）</t>
  </si>
  <si>
    <t>4402-49-ROC</t>
  </si>
  <si>
    <t>天然木皮  红橡山纹  2800mm</t>
  </si>
  <si>
    <t>4402-49-ROCR3</t>
  </si>
  <si>
    <t>天然木皮 红橡山纹 2800mm R3色号</t>
  </si>
  <si>
    <t>天然木皮 红橡山纹 2800mm R 7色号</t>
  </si>
  <si>
    <t>天然木皮 红橡山纹 2800mm R 9色号</t>
  </si>
  <si>
    <t>天然木皮 红橡山纹 2800mm Y1色号</t>
  </si>
  <si>
    <t>天然木皮 红橡山纹 2800mm Y3色号</t>
  </si>
  <si>
    <t>天然木皮 红橡山纹 2800mm Y5色号</t>
  </si>
  <si>
    <t>天然木皮 红橡山纹 2800mm Y7色号</t>
  </si>
  <si>
    <t>天然木皮 红橡山纹 2800mm Y9色号</t>
  </si>
  <si>
    <t>4402-49-ROS</t>
  </si>
  <si>
    <t>天然木皮  红橡直纹  2800mm</t>
  </si>
  <si>
    <t>天然木皮  红橡直纹 虎斑 刀痕 2800mm(C类）</t>
  </si>
  <si>
    <t>天然木皮 红橡直纹 2800mm R1 色号</t>
  </si>
  <si>
    <t>天然木皮 红橡直纹 2800mm R3色号</t>
  </si>
  <si>
    <t>天然木皮 红橡直纹 2800mm R 5色号</t>
  </si>
  <si>
    <t>天然木皮 红橡直纹 2800mm R7色号</t>
  </si>
  <si>
    <t>天然木皮 红橡直纹 2800mm R 9色号</t>
  </si>
  <si>
    <t>4402-49-ROSY1</t>
  </si>
  <si>
    <t>天然木皮 红橡直纹 2800mm Y 1色号</t>
  </si>
  <si>
    <t>天然木皮 红橡直纹 2800mm Y3色号</t>
  </si>
  <si>
    <t>天然木皮 红橡直纹 2800mm Y5 色号</t>
  </si>
  <si>
    <t>天然木皮 红橡直纹 2800mm Y7色号</t>
  </si>
  <si>
    <t>4402-49-WNB</t>
  </si>
  <si>
    <t>天然木皮 黑胡桃白边 2800mm</t>
  </si>
  <si>
    <t>天然木皮 黑胡桃白边 R7色号 2800mm</t>
  </si>
  <si>
    <t>4402-49-WNBY5</t>
  </si>
  <si>
    <t>天然木皮 黑胡桃白边 Y5色号 2800mm</t>
  </si>
  <si>
    <t>4402-49-WNC</t>
  </si>
  <si>
    <t>天然木皮  黑胡桃山纹  2800mm</t>
  </si>
  <si>
    <t>4402-49-WNCB9</t>
  </si>
  <si>
    <t>天然木皮 胡桃木山纹 2800mm B 9色号</t>
  </si>
  <si>
    <t>天然木皮 胡桃木山纹 2800mm G9 色号</t>
  </si>
  <si>
    <t>天然木皮  黑胡桃山纹  2800mm R1色号</t>
  </si>
  <si>
    <t>天然木皮 胡桃木山纹 2800mm R 3色号</t>
  </si>
  <si>
    <t>天然木皮 胡桃木山纹 2800mm R5色号</t>
  </si>
  <si>
    <t>天然木皮 胡桃木山纹 2800mm R 7色号</t>
  </si>
  <si>
    <t>天然木皮 胡桃木山纹 2800mm R 7色号 刀痕 透光（C类）</t>
  </si>
  <si>
    <t>天然木皮 胡桃木山纹 2800mm R9色号</t>
  </si>
  <si>
    <t>天然木皮  黑胡桃山纹  2800mm Y1色号</t>
  </si>
  <si>
    <t>天然木皮 胡桃木山纹 2800mm Y 3色号</t>
  </si>
  <si>
    <t>天然木皮  黑胡桃山纹  2800mm Y5色号</t>
  </si>
  <si>
    <t>天然木皮  黑胡桃山纹  2800mm Y7色号</t>
  </si>
  <si>
    <t>天然木皮  白橡山纹  2800mm</t>
  </si>
  <si>
    <t>天然木皮  白橡山纹  2800mm 透光 横节（C类）</t>
  </si>
  <si>
    <t>天然木皮  白橡山纹  2800mm G9 色号</t>
  </si>
  <si>
    <t>天然木皮  白橡山纹  G9 色号 2800mm</t>
  </si>
  <si>
    <t>天然木皮  白橡山纹  2800mm R1色号</t>
  </si>
  <si>
    <t>天然木皮 白橡山纹 2800mm R 3色号</t>
  </si>
  <si>
    <t>天然木皮 白橡山纹 2800mm R5色号</t>
  </si>
  <si>
    <t>天然木皮 白橡山纹 2800mm R 7色号</t>
  </si>
  <si>
    <t>天然木皮 白橡山纹 2800mm R9色号</t>
  </si>
  <si>
    <t>天然木皮 白橡山纹 2800mm Y 1色号</t>
  </si>
  <si>
    <t>天然木皮  白橡山纹  2800mm Y3色号</t>
  </si>
  <si>
    <t>天然木皮 白橡山纹 2800mm Y 5色号</t>
  </si>
  <si>
    <t>天然木皮 白橡山纹 2800mm Y 5色号 刀痕 透光(C类）</t>
  </si>
  <si>
    <t>天然木皮 白橡山纹 2800mm Y7色号</t>
  </si>
  <si>
    <t>天然木皮  白橡山纹  2800mm Y 9色号</t>
  </si>
  <si>
    <t>4402-49-WOK</t>
  </si>
  <si>
    <t>天然木皮 白橡结疤 2800mm</t>
  </si>
  <si>
    <t>4402-49-WOKR3</t>
  </si>
  <si>
    <t>天然木皮 白橡结疤 2800mm R3色号</t>
  </si>
  <si>
    <t>4402-49-WOKR7</t>
  </si>
  <si>
    <t>天然木皮 白橡结疤 2800mm R7色号</t>
  </si>
  <si>
    <t>4402-49-WOKY1</t>
  </si>
  <si>
    <t>天然木皮 白橡结疤 2800mm Y 1色号</t>
  </si>
  <si>
    <t>4402-49-WOKY3</t>
  </si>
  <si>
    <t>天然木皮 白橡结疤 2800mm Y3色号</t>
  </si>
  <si>
    <t>4402-49-WOKY5</t>
  </si>
  <si>
    <t>天然木皮 白橡结疤 2800mm Y 5色号</t>
  </si>
  <si>
    <t>4402-49-WOKY7</t>
  </si>
  <si>
    <t>天然木皮 白橡结疤 2800mm Y 7色号</t>
  </si>
  <si>
    <t>天然木皮  白橡直纹  2800mm</t>
  </si>
  <si>
    <t>4402-49-WOSR1</t>
  </si>
  <si>
    <t>天然木皮  白橡直纹  2800mm R1色号</t>
  </si>
  <si>
    <t>天然木皮 白橡直纹 2800mm R3色号</t>
  </si>
  <si>
    <t>天然木皮  白橡直纹  2800mm R3 花纹181.34 刀痕11.26（C类）</t>
  </si>
  <si>
    <t>天然木皮 白橡直纹 2800mm R 5色号</t>
  </si>
  <si>
    <t>天然木皮 白橡直纹 2800mm R 9色号</t>
  </si>
  <si>
    <t>天然木皮  白橡直纹  2800mm Y1色号</t>
  </si>
  <si>
    <t>天然木皮 白橡直纹 2800mm Y 3色号</t>
  </si>
  <si>
    <t>天然木皮 白橡直纹 2800mm Y 3色号 刀痕 透光（C类）</t>
  </si>
  <si>
    <t>天然木皮 白橡直纹 2800mm Y5色号</t>
  </si>
  <si>
    <t>天然木皮  白橡直纹  2800mm Y7色号</t>
  </si>
  <si>
    <t>4402-49-YJL-ZW-12-1508</t>
  </si>
  <si>
    <t>天然木皮 尤加利直纹 2800mm1#2号色（边沐）</t>
  </si>
  <si>
    <t>4402-49-YJL-ZW-12-BM</t>
  </si>
  <si>
    <t>天然木皮 尤加利直纹 2800mm 1-2号色</t>
  </si>
  <si>
    <t>4402-49-YJL-ZW-12-WL</t>
  </si>
  <si>
    <t>4402-49-YJL-ZW-1508</t>
  </si>
  <si>
    <t>天然木皮 尤加利直纹 2800mm（边沐）</t>
  </si>
  <si>
    <t>天然木皮 尤加利直纹 2800mm（边沐）(C类）</t>
  </si>
  <si>
    <t>天然木皮 尤加利直纹 2800mm3-4号色（边沐）</t>
  </si>
  <si>
    <t>4402-49-YJL-ZW-34-BM</t>
  </si>
  <si>
    <t>天然木皮 尤加利直纹 2800mm 3-4号色</t>
  </si>
  <si>
    <t>4402-49-YJL-ZW-34-WL</t>
  </si>
  <si>
    <t>4402-49-YJL-ZW-BM</t>
  </si>
  <si>
    <t>4402-49-YJL-ZW-WL</t>
  </si>
  <si>
    <t>4402-49-YM-BSW-12-DW</t>
  </si>
  <si>
    <t>天然木皮 榆木半山纹 2800mm 1-2号色</t>
  </si>
  <si>
    <t>4402-49-YM-BSW-12-HL</t>
  </si>
  <si>
    <t>4402-49-YM-BSW-12-JY</t>
  </si>
  <si>
    <t>4402-49-YM-BSW-34-DW</t>
  </si>
  <si>
    <t>天然木皮 榆木半山纹 2800mm 3-4号色</t>
  </si>
  <si>
    <t>4402-49-YM-BSW-34-HL</t>
  </si>
  <si>
    <t>4402-49-YM-BSW-34-JY</t>
  </si>
  <si>
    <t>4402-49-YM-BSW-DW</t>
  </si>
  <si>
    <t>天然木皮 榆木半山纹 2800mm</t>
  </si>
  <si>
    <t>4402-49-YM-BSW-HL</t>
  </si>
  <si>
    <t>4402-49-YM-BSW-JY</t>
  </si>
  <si>
    <t>4402-49-YM-SW-1152</t>
  </si>
  <si>
    <t>天然木皮-榆木山纹2800mm（沃伦）</t>
  </si>
  <si>
    <t>4402-49-YM-SW-12-1152</t>
  </si>
  <si>
    <t>天然木皮 榆木山纹 2800mm 1-2号色（沃伦）</t>
  </si>
  <si>
    <t>2800mm 50S AA级</t>
  </si>
  <si>
    <t>天然木皮 榆木山纹 2800mm1-2号色（大威）</t>
  </si>
  <si>
    <t>4402-49-YM-SW-12-DW</t>
  </si>
  <si>
    <t>天然木皮 榆木山纹 2800mm 1-2号色</t>
  </si>
  <si>
    <t>4402-49-YM-SW-12-HL</t>
  </si>
  <si>
    <t>4402-49-YM-SW-12-JY</t>
  </si>
  <si>
    <t>4402-49-YM-SW-12-WL</t>
  </si>
  <si>
    <t>天然木皮 榆木山纹 2800mm（大威）</t>
  </si>
  <si>
    <t>天然木皮 榆木山纹 2800mm（大威）(C类）</t>
  </si>
  <si>
    <t>4402-49-YM-SW-34-1152</t>
  </si>
  <si>
    <t>天然木皮 榆木山纹 2800mm 3-4号色（沃伦）</t>
  </si>
  <si>
    <t>天然木皮 榆木山纹 2800mm 3-4号色（卉林）</t>
  </si>
  <si>
    <t>4402-49-YM-SW-34-1480</t>
  </si>
  <si>
    <t>天然木皮 榆木山纹 2800mm3-4号色（大威）</t>
  </si>
  <si>
    <t>4402-49-YM-SW-34-DW</t>
  </si>
  <si>
    <t>天然木皮 榆木山纹 2800mm 3-4号色</t>
  </si>
  <si>
    <t>4402-49-YM-SW-34-HL</t>
  </si>
  <si>
    <t>4402-49-YM-SW-34-JY</t>
  </si>
  <si>
    <t>4402-49-YM-SW-34-WL</t>
  </si>
  <si>
    <t>4402-49-YM-SW-DW</t>
  </si>
  <si>
    <t>天然木皮 榆木山纹 2800mm</t>
  </si>
  <si>
    <t>4402-49-YM-SW-HL</t>
  </si>
  <si>
    <t>4402-49-YM-SW-JY</t>
  </si>
  <si>
    <t>4402-49-YM-SW-WL</t>
  </si>
  <si>
    <t>天然木皮-榆木山纹2800mm</t>
  </si>
  <si>
    <t>盘点新增20260128</t>
  </si>
  <si>
    <t>是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</si>
</sst>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color indexed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5" fillId="0" borderId="0"/>
    <xf numFmtId="0" fontId="10" fillId="0" borderId="0"/>
    <xf numFmtId="0" fontId="9" fillId="0" borderId="0">
      <alignment vertical="center"/>
    </xf>
    <xf numFmtId="0" fontId="9" fillId="0" borderId="0"/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49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7" fillId="0" borderId="1" xfId="0" applyFont="1" applyBorder="1">
      <alignment vertical="center"/>
    </xf>
    <xf numFmtId="0" fontId="9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9" fillId="2" borderId="0" xfId="0" applyFont="1" applyFill="1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>
      <alignment vertical="center"/>
    </xf>
    <xf numFmtId="49" fontId="11" fillId="0" borderId="0" xfId="2" applyNumberFormat="1" applyFont="1" applyAlignment="1">
      <alignment shrinkToFit="1"/>
    </xf>
    <xf numFmtId="0" fontId="7" fillId="0" borderId="1" xfId="0" applyFont="1" applyBorder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4" xr:uid="{FA19DC24-B42D-4C1C-8B25-BC1C9CDFD475}"/>
    <cellStyle name="常规 3" xfId="3" xr:uid="{E7EBB504-2754-48F3-9085-EFCFF97FCCA8}"/>
    <cellStyle name="常规 4" xfId="2" xr:uid="{C259F3FC-466A-4B1A-A850-717A57C7D7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istrator\Desktop\&#29289;&#26009;&#32534;&#30721;&#35268;&#21017;202511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汇总"/>
      <sheetName val="Cover Page"/>
      <sheetName val="打样成品及半成品"/>
      <sheetName val="成品"/>
      <sheetName val="Sheet3"/>
      <sheetName val="成品（配套辅料）"/>
      <sheetName val="木皮成品"/>
      <sheetName val="半成品"/>
      <sheetName val="木皮半成品"/>
      <sheetName val="平衡皮"/>
      <sheetName val="一阶原材料"/>
      <sheetName val="二阶原材料"/>
      <sheetName val="固定资产"/>
      <sheetName val="产品型号明细"/>
      <sheetName val="木皮饰板设计部编码规则"/>
      <sheetName val="供应商简称明细"/>
      <sheetName val="辅料产品明细"/>
      <sheetName val="所建料号成品"/>
      <sheetName val="备品备件"/>
      <sheetName val="其他物品"/>
      <sheetName val="仓库明细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43.684157291667" createdVersion="8" refreshedVersion="8" minRefreshableVersion="3" recordCount="291" xr:uid="{287421B9-EA13-4AF0-9F57-F2BAAAA2DC72}">
  <cacheSource type="worksheet">
    <worksheetSource ref="A2:H293" sheet="盘点"/>
  </cacheSource>
  <cacheFields count="8">
    <cacheField name="cInvCode" numFmtId="49">
      <sharedItems count="196">
        <s v="3402-49-ROSR3-3045"/>
        <s v="3402-49-WNCR7-5068"/>
        <s v="3402-49-WOCR5-3074"/>
        <s v="3402-49-WOCR7-1073"/>
        <s v="3402-49-WOCR7-7065"/>
        <s v="3402-49-WOCR9-7065"/>
        <s v="3402-49-WOSY5-1013"/>
        <s v="3402-491-WNC"/>
        <s v="3402-48-A098-ZW-12-15-JA"/>
        <s v="3402-48-A098-ZW-34-15-JA"/>
        <s v="3402-48-BX-BS-11-1181"/>
        <s v="3402-48-CA01-BB-34-15-KML"/>
        <s v="3402-48-CA18-ZW-34-15-KML"/>
        <s v="3402-48-CA28-SW-JA8"/>
        <s v="3402-48-CA28-ZW-JA8-B"/>
        <s v="3402-48-HHT-BS-11-1181"/>
        <s v="3402-48-HNS-ZW-11-1181"/>
        <s v="3402-48-HT-BS-11-1181"/>
        <s v="3402-48-HX-BS-11-1181"/>
        <s v="3402-48-MGL-ZW-11-1181"/>
        <s v="3402-48-SQL-BS-11-1181"/>
        <s v="3402-48-SXHHT-BS-11-1181"/>
        <s v="3402-48-SZ-BS-11-1181"/>
        <s v="3402-48-WM-BS-11-1181"/>
        <s v="3402-48-YJL-BS-11-1181"/>
        <s v="3402-48-YM-BS-11-1181"/>
        <s v="3402-48-YT-BS-11-1181"/>
        <s v="3402-492-A056-ZW-12-15-KML"/>
        <s v="3402-492-A057-SW-12-15-KML"/>
        <s v="3402-492-A058-ZW-12-15-KML"/>
        <s v="3402-492-A059-SW-12-15-KML"/>
        <s v="3402-492-A092-BS-15-KML-C"/>
        <s v="3402-492-CA06-BS-12-15-KML"/>
        <s v="3402-492-CA06-BS-34-15-KML"/>
        <s v="3402-492-CA06-BS-34-15-KML-C"/>
        <s v="3402-492-CA06-JB-34-15-KML"/>
        <s v="3402-492-CA06-JB-34-15-KML-C"/>
        <s v="3402-492-CA06-ZW-12-15-KML"/>
        <s v="3402-492-CA06-ZW-34-15-KML"/>
        <s v="3402-492-CA06-ZW-34-15-KML-C"/>
        <s v="3402-492-CA07-BS-34-15-KML"/>
        <s v="3402-492-CA07-BS-34-15-KML-C"/>
        <s v="3402-492-CA18-ZW-12-15-KML-C"/>
        <s v="3402-492-CA18-ZW-34-15-KML"/>
        <s v="3402-492-CA18-ZW-34-15-KML-C"/>
        <s v="3402-492-CA20-BS-34-15-KML"/>
        <s v="3402-492-CA32-BS-12-15-KML-C"/>
        <s v="3402-492-CA32-BS-34-15-KML"/>
        <s v="3402-492-CA49-SW-KML-C"/>
        <s v="3402-492-CKD003-ZW-DQ"/>
        <s v="3402-492-CKD004-ZW-DQ"/>
        <s v="3402-492-CKD005-ZW-DQ"/>
        <s v="3402-492-CKD006-SW-DQ-C"/>
        <s v="3402-492-CKD007-ZW-DQ"/>
        <s v="3402-492-CKD008-ZW-DQ"/>
        <s v="3402-492-CKD009-SW-DQ"/>
        <s v="3402-492-CKD010-ZW-DQ-C"/>
        <s v="3402-492-WOCR9-7065-BS-34-15-KML"/>
        <s v="3402-493-CA23-ZW-PL4-C"/>
        <s v="3402-493-CA34-ZW-PL4"/>
        <s v="3402-49-BWS"/>
        <s v="3402-49-BX-BS-12-1152"/>
        <s v="3402-49-BX-BS-12-1326"/>
        <s v="3402-49-BX-BS-34-1326"/>
        <s v="3402-49-BX-ZW-12-1326"/>
        <s v="3402-49-BX-ZW-12-1479"/>
        <s v="3402-49-CA30-SW-1-2-15-SZ"/>
        <s v="3402-49-ELCR3"/>
        <s v="3402-49-ELCR3-3071"/>
        <s v="3402-49-ELCR5"/>
        <s v="3402-49-ELCR5-3072"/>
        <s v="3402-49-ELCR7-9011"/>
        <s v="3402-49-ELCR9-5004"/>
        <s v="3402-49-ELCY3"/>
        <s v="3402-49-EUSR9-5044"/>
        <s v="3402-49-FXC"/>
        <s v="3402-49-HHT-BBSW-34-1152"/>
        <s v="3402-49-HHT-BBSW-34-1326"/>
        <s v="3402-49-HHT-BS-12-1152"/>
        <s v="3402-49-HHT-BS-34-1152-C"/>
        <s v="3402-49-HHT-BS-34-1326-C"/>
        <s v="3402-49-HHT-SW-12-1577"/>
        <s v="3402-49-HX-ZW-34-1349"/>
        <s v="3402-49-HX-ZW-34-1349-C"/>
        <s v="3402-49-ROCR9-5075"/>
        <s v="3402-49-ROS"/>
        <s v="3402-49-ROSR7-9024"/>
        <s v="3402-49-ROSR9"/>
        <s v="3402-49-ROSR9-9010"/>
        <s v="3402-49-ROSR9-9020"/>
        <s v="3402-49-WNCB9"/>
        <s v="3402-49-WNCR"/>
        <s v="3402-49-WNCR3"/>
        <s v="3402-49-WNCR3-5030"/>
        <s v="3402-49-WNCR3-5030-C"/>
        <s v="3402-49-WNCR5"/>
        <s v="3402-49-WNCR5-5043"/>
        <s v="3402-49-WNCR5-7053"/>
        <s v="3402-49-WNCR7"/>
        <s v="3402-49-WNCR7-5268"/>
        <s v="3402-49-WNCR9-9001"/>
        <s v="3402-49-WNCY3"/>
        <s v="3402-49-WOCR5-3025"/>
        <s v="3402-49-WOKR3-3017"/>
        <s v="3402-49-WOKY7-3024"/>
        <s v="3402-49-WOSR3-5015"/>
        <s v="3402-49-WOSR9-9016"/>
        <s v="3402-49-WOSY3-3117"/>
        <s v="3402-49-YJL-ZW-34-1508"/>
        <s v="3402-49-YM-BS-12-1152"/>
        <s v="3402-49-YM-BS-34-1152-C"/>
        <s v="3402-49-YM-BS-34-1480"/>
        <s v="3402-49-FOGS360CS"/>
        <s v="3402-49-OAKGS204S"/>
        <s v="3402-49-TTGS302C"/>
        <s v="3402-49-WNFGS1CS"/>
        <s v="3400-49-JMKJM"/>
        <s v="3400-49-JMVHY"/>
        <s v="4402-410-ELCY5"/>
        <s v="4402-48-HHT-SW-1090"/>
        <s v="4402-49-BWSY1"/>
        <s v="4402-49-BX-SW-34-1326"/>
        <s v="4402-49-BX-ZW-12-1152"/>
        <s v="4402-49-BX-ZW-12-1479"/>
        <s v="4402-49-BX-ZW-1326-C"/>
        <s v="4402-49-BX-ZW-34-1479"/>
        <s v="4402-49-ELC"/>
        <s v="4402-49-ELC-C"/>
        <s v="4402-49-ELCG7"/>
        <s v="4402-49-ELCG9"/>
        <s v="4402-49-ELCR5"/>
        <s v="4402-49-ELCR7"/>
        <s v="4402-49-ELCR9"/>
        <s v="4402-49-ELCY1"/>
        <s v="4402-49-ELCY11"/>
        <s v="4402-49-ELCY3"/>
        <s v="4402-49-ELCY5"/>
        <s v="4402-49-FZZMY-SW-1326"/>
        <s v="4402-49-HHT-BBSW-WL"/>
        <s v="4402-49-HHT-SW-1090"/>
        <s v="4402-49-HHT-SW-12-1326"/>
        <s v="4402-49-HHT-SW-34-1152"/>
        <s v="4402-49-HHT-SW-34-1152-C"/>
        <s v="4402-49-HHT-SW-34-1577"/>
        <s v="4402-49-HX-ZW-12-1479"/>
        <s v="4402-49-HX-ZW-1479-C"/>
        <s v="4402-49-HX-ZW-34-1349-C"/>
        <s v="4402-49-ROCY1"/>
        <s v="4402-49-ROCY3"/>
        <s v="4402-49-ROCY5"/>
        <s v="4402-49-ROCY7"/>
        <s v="4402-49-ROS-C"/>
        <s v="4402-49-ROSR1"/>
        <s v="4402-49-ROSR3"/>
        <s v="4402-49-ROSR5"/>
        <s v="4402-49-ROSR7"/>
        <s v="4402-49-ROSR9"/>
        <s v="4402-49-ROSY3"/>
        <s v="4402-49-ROSY5"/>
        <s v="4402-49-WNBR7"/>
        <s v="4402-49-WNCG9"/>
        <s v="4402-49-WNCR1"/>
        <s v="4402-49-WNCR3"/>
        <s v="4402-49-WNCR5"/>
        <s v="4402-49-WNCR7-C"/>
        <s v="4402-49-WNCY1"/>
        <s v="4402-49-WNCY3"/>
        <s v="4402-49-WNCY7"/>
        <s v="4402-49-WOC"/>
        <s v="4402-49-WOC-C"/>
        <s v="4402-49-WOCG7"/>
        <s v="4402-49-WOCG9"/>
        <s v="4402-49-WOCR3"/>
        <s v="4402-49-WOCR5"/>
        <s v="4402-49-WOCR9"/>
        <s v="4402-49-WOCY1"/>
        <s v="4402-49-WOCY3"/>
        <s v="4402-49-WOCY5"/>
        <s v="4402-49-WOCY5-C"/>
        <s v="4402-49-WOCY7"/>
        <s v="4402-49-WOCY9"/>
        <s v="4402-49-WOS"/>
        <s v="4402-49-WOSR3"/>
        <s v="4402-49-WOSR3-C"/>
        <s v="4402-49-WOSR5"/>
        <s v="4402-49-WOSY1"/>
        <s v="4402-49-WOSY3"/>
        <s v="4402-49-WOSY3-C"/>
        <s v="4402-49-WOSY5"/>
        <s v="4402-49-WOSY7"/>
        <s v="4402-49-YJL-ZW-1508-C"/>
        <s v="4402-49-YJL-ZW-34-1508"/>
        <s v="4402-49-YM-SW-12-1480"/>
        <s v="4402-49-YM-SW-1480"/>
        <s v="4402-49-YM-SW-1480-C"/>
        <s v="4402-49-YM-SW-34-1433"/>
      </sharedItems>
    </cacheField>
    <cacheField name="ItemId" numFmtId="49">
      <sharedItems containsBlank="1"/>
    </cacheField>
    <cacheField name="cBatch" numFmtId="49">
      <sharedItems containsBlank="1"/>
    </cacheField>
    <cacheField name="cVMIVenCode" numFmtId="49">
      <sharedItems containsNonDate="0" containsString="0" containsBlank="1"/>
    </cacheField>
    <cacheField name="iSoType" numFmtId="49">
      <sharedItems containsBlank="1"/>
    </cacheField>
    <cacheField name="iSodid" numFmtId="49">
      <sharedItems containsNonDate="0" containsString="0" containsBlank="1"/>
    </cacheField>
    <cacheField name="iQuantity" numFmtId="0">
      <sharedItems containsSemiMixedTypes="0" containsString="0" containsNumber="1" minValue="1" maxValue="2603.8200000000002"/>
    </cacheField>
    <cacheField name="122" numFmtId="0">
      <sharedItems containsSemiMixedTypes="0" containsString="0" containsNumber="1" minValue="-2603.8200000000002" maxValue="-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43.687929050924" createdVersion="8" refreshedVersion="8" minRefreshableVersion="3" recordCount="274" xr:uid="{18B55B5E-AD6E-4F48-AD8A-2ADDFE15465D}">
  <cacheSource type="worksheet">
    <worksheetSource ref="M1:N275" sheet="Sheet2"/>
  </cacheSource>
  <cacheFields count="2">
    <cacheField name="编码" numFmtId="0">
      <sharedItems count="147">
        <s v="3402-49-WOCR3"/>
        <s v="3402-49-WOCY7"/>
        <s v="3402-49-WOCR5"/>
        <s v="3402-49-WOCG7"/>
        <s v="3402-49-WOCY5"/>
        <s v="3402-49-WOCG9"/>
        <s v="3402-49-WOCY9"/>
        <s v="3402-49-WOCR7"/>
        <s v="3402-49-WOCR9"/>
        <s v="3402-49-WOC"/>
        <s v="3402-49-WOCY1"/>
        <s v="3402-49-WOCY3"/>
        <s v="3402-49-ROSR9"/>
        <s v="3402-49-ROSR7"/>
        <s v="3402-49-ROSR5"/>
        <s v="3402-49-ROSY7"/>
        <s v="3402-49-ROCR5"/>
        <s v="3402-49-ROCR7"/>
        <s v="3402-49-ROCR9"/>
        <s v="3402-49-EUSR5"/>
        <s v="3402-49-EUSY3"/>
        <s v="3402-49-EUSR7"/>
        <s v="3402-49-EUSY5"/>
        <s v="3402-49-WNCY5"/>
        <s v="3402-49-WNCY3"/>
        <s v="3402-49-WOKY3"/>
        <s v="3402-49-WOKY5"/>
        <s v="3402-49-WNCR5"/>
        <s v="3402-49-WNC"/>
        <s v="3402-49-WNCR7/R9"/>
        <s v="3402-49-WNCR7"/>
        <s v="3402-49-WNCR9"/>
        <s v="3402-49-WNCY7/Y9"/>
        <s v="3402-49-WNCG9"/>
        <s v="3402-49-WNCY7"/>
        <s v="3402-49-ELCG9"/>
        <s v="3402-49-ELCY7"/>
        <s v="3402-49-ELCY5"/>
        <s v="3402-49-ELCR5"/>
        <s v="3402-49-ELCR7"/>
        <s v="3402-49-ELCG8"/>
        <s v="3402-49-ELC"/>
        <s v="3402-49-ELCR9"/>
        <s v="3402-49-WOS"/>
        <s v="3402-49-WOSY3"/>
        <s v="3402-49-WOSR5"/>
        <s v="3402-49-WOSY1"/>
        <s v="3402-49-WOSR3"/>
        <s v="3402-49-WOSY7"/>
        <s v="3402-49-WOSR7"/>
        <s v="3402-49-WOSR9"/>
        <s v="3402-48-TTorTB"/>
        <s v="3400-48-JMFNS"/>
        <s v="3402-48-MP"/>
        <s v="3400-49-JMVHY"/>
        <s v="3402-49-BR"/>
        <s v="3402-49-EL"/>
        <s v="3402-49-WO"/>
        <s v="3402-49-BEC"/>
        <s v="3402-49-MPS"/>
        <s v="3400-49-JMYHT"/>
        <s v="3402-49-WN"/>
        <s v="3400-49-JMVEU"/>
        <s v="3402-49-WOKY7"/>
        <s v="3400-49-JMBHT"/>
        <s v="3402-49-WNBR7"/>
        <s v="3400-49-JMVBS"/>
        <s v="3400-49-JMVFY"/>
        <s v="杂皮平衡皮"/>
        <s v="3402-49-WNB"/>
        <s v="3402-49-WOK"/>
        <s v="3402-49-ROS-C"/>
        <s v="科技木"/>
        <s v="3402-48-WNB"/>
        <s v="老板样品"/>
        <s v="库存木皮"/>
        <s v="3400-48-JMVFY"/>
        <s v="3402-48-WNC"/>
        <s v="3402-49-ROS"/>
        <s v="3400-48-JMVHY"/>
        <s v="3402-48-MPC"/>
        <s v="3402-48-CH"/>
        <s v="3400-48-JMVEU"/>
        <s v="3402-48-WOS"/>
        <s v="山东退货"/>
        <s v="3400-49-ROS"/>
        <s v="3400-49-WNB"/>
        <s v="3402-49-ROC"/>
        <s v="4402-49-WOCR3"/>
        <s v="4402-49-WOCY1"/>
        <s v="4402-49-WOCR5"/>
        <s v="4402-49-WOCY3"/>
        <s v="4402-49-WOCR7"/>
        <s v="4402-49-WOCR9"/>
        <s v="4402-49-WOCY5"/>
        <s v="4402-49-WOCY7"/>
        <s v="4402-49-WOCG9"/>
        <s v="4402-49-WOCR1"/>
        <s v="4402-49-WOCY8"/>
        <s v="4402-49-WOSR5"/>
        <s v="4402-49-WOSY5"/>
        <s v="4402-49-WOSR3"/>
        <s v="4402-49-WOSR7"/>
        <s v="4402-49-WOSY7"/>
        <s v="4402-49-WOSY3"/>
        <s v="4402-49-WOSY1"/>
        <s v="4402-49-WNBR7"/>
        <s v="4402-49-ROCY5"/>
        <s v="4402-49-ROCY7"/>
        <s v="4402-49-ROCR5"/>
        <s v="4402-49-ROCY9"/>
        <s v="4402-49-ROCR7"/>
        <s v="4402-49-WNCY7"/>
        <s v="4402-49-ROSR5"/>
        <s v="4402-49-ROSY5"/>
        <s v="4402-49-ROSY7"/>
        <s v="4402-49-ROSY3"/>
        <s v="4402-49-ROSR7"/>
        <s v="4402-49-ROSR1"/>
        <s v="4402-49-ROSR3"/>
        <s v="4402-49-WNCG9"/>
        <s v="4402-49-WNCR3"/>
        <s v="4402-49-WNCY3"/>
        <s v="4402-49-WNCR1"/>
        <s v="4402-49-WNCY5"/>
        <s v="4402-49-WNCY1"/>
        <s v="4402-49-WNCR9"/>
        <s v="4402-49-ELCR9"/>
        <s v="4402-49-ELCY3"/>
        <s v="4402-49-ELCR5"/>
        <s v="4402-49-ELCY7"/>
        <s v="4402-49-ELCG9"/>
        <s v="4402-49-ELCR7"/>
        <s v="4402-49-ELCY5"/>
        <s v="4402-49-ELCR3"/>
        <s v="4402-49-EUSR9"/>
        <s v="4402-49-EUSY7"/>
        <s v="4402-49-EUSY9"/>
        <s v="4402-49-EUSY5"/>
        <s v="4402-49-EUSY3"/>
        <s v="4402-49-EUSR7"/>
        <s v="4402-49-EUSG9"/>
        <s v="4402-49-WOSR9"/>
        <s v="4402-49-ROSR9"/>
        <s v="4402-49-WNCR5"/>
        <s v="4402-49-WNCR7"/>
        <s v="4402-49-ROCR9"/>
      </sharedItems>
    </cacheField>
    <cacheField name="数量（张）" numFmtId="0">
      <sharedItems containsSemiMixedTypes="0" containsString="0" containsNumber="1" minValue="3" maxValue="1711.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43.688968287039" createdVersion="8" refreshedVersion="8" minRefreshableVersion="3" recordCount="343" xr:uid="{D27FF325-D5CA-4FB0-A0F8-3716521141AD}">
  <cacheSource type="worksheet">
    <worksheetSource ref="P4:Q347" sheet="盘点"/>
  </cacheSource>
  <cacheFields count="2">
    <cacheField name="行标签" numFmtId="0">
      <sharedItems count="299">
        <s v="3400-48-JMFNS"/>
        <s v="3400-48-JMVEU"/>
        <s v="3400-48-JMVFY"/>
        <s v="3400-48-JMVHY"/>
        <s v="3400-49-JMBHT"/>
        <s v="3400-49-JMVBS"/>
        <s v="3400-49-JMVEU"/>
        <s v="3400-49-JMVFY"/>
        <s v="3400-49-JMVHY"/>
        <s v="3400-49-JMYHT"/>
        <s v="3400-49-ROS"/>
        <s v="3400-49-WNB"/>
        <s v="3402-48-CH"/>
        <s v="3402-48-MP"/>
        <s v="3402-48-MPC"/>
        <s v="3402-48-TTorTB"/>
        <s v="3402-48-WNB"/>
        <s v="3402-48-WNC"/>
        <s v="3402-48-WOS"/>
        <s v="3402-49-BEC"/>
        <s v="3402-49-BR"/>
        <s v="3402-49-EL"/>
        <s v="3402-49-ELC"/>
        <s v="3402-49-ELCG8"/>
        <s v="3402-49-ELCG9"/>
        <s v="3402-49-ELCR5"/>
        <s v="3402-49-ELCR7"/>
        <s v="3402-49-ELCR9"/>
        <s v="3402-49-ELCY5"/>
        <s v="3402-49-ELCY7"/>
        <s v="3402-49-EUSR5"/>
        <s v="3402-49-EUSR7"/>
        <s v="3402-49-EUSY3"/>
        <s v="3402-49-EUSY5"/>
        <s v="3402-49-MPS"/>
        <s v="3402-49-ROC"/>
        <s v="3402-49-ROCR5"/>
        <s v="3402-49-ROCR7"/>
        <s v="3402-49-ROCR9"/>
        <s v="3402-49-ROS"/>
        <s v="3402-49-ROS-C"/>
        <s v="3402-49-ROSR5"/>
        <s v="3402-49-ROSR7"/>
        <s v="3402-49-ROSR9"/>
        <s v="3402-49-ROSY7"/>
        <s v="3402-49-WN"/>
        <s v="3402-49-WNB"/>
        <s v="3402-49-WNBR7"/>
        <s v="3402-49-WNC"/>
        <s v="3402-49-WNCG9"/>
        <s v="3402-49-WNCR5"/>
        <s v="3402-49-WNCR7"/>
        <s v="3402-49-WNCR7/R9"/>
        <s v="3402-49-WNCR9"/>
        <s v="3402-49-WNCY3"/>
        <s v="3402-49-WNCY5"/>
        <s v="3402-49-WNCY7"/>
        <s v="3402-49-WNCY7/Y9"/>
        <s v="3402-49-WO"/>
        <s v="3402-49-WOC"/>
        <s v="3402-49-WOCG7"/>
        <s v="3402-49-WOCG9"/>
        <s v="3402-49-WOCR3"/>
        <s v="3402-49-WOCR5"/>
        <s v="3402-49-WOCR7"/>
        <s v="3402-49-WOCR9"/>
        <s v="3402-49-WOCY1"/>
        <s v="3402-49-WOCY3"/>
        <s v="3402-49-WOCY5"/>
        <s v="3402-49-WOCY7"/>
        <s v="3402-49-WOCY9"/>
        <s v="3402-49-WOK"/>
        <s v="3402-49-WOKY3"/>
        <s v="3402-49-WOKY5"/>
        <s v="3402-49-WOKY7"/>
        <s v="3402-49-WOS"/>
        <s v="3402-49-WOSR3"/>
        <s v="3402-49-WOSR5"/>
        <s v="3402-49-WOSR7"/>
        <s v="3402-49-WOSR9"/>
        <s v="3402-49-WOSY1"/>
        <s v="3402-49-WOSY3"/>
        <s v="3402-49-WOSY7"/>
        <s v="4402-49-ELCG9"/>
        <s v="4402-49-ELCR3"/>
        <s v="4402-49-ELCR5"/>
        <s v="4402-49-ELCR7"/>
        <s v="4402-49-ELCR9"/>
        <s v="4402-49-ELCY3"/>
        <s v="4402-49-ELCY5"/>
        <s v="4402-49-ELCY7"/>
        <s v="4402-49-EUSG9"/>
        <s v="4402-49-EUSR7"/>
        <s v="4402-49-EUSR9"/>
        <s v="4402-49-EUSY3"/>
        <s v="4402-49-EUSY5"/>
        <s v="4402-49-EUSY7"/>
        <s v="4402-49-EUSY9"/>
        <s v="4402-49-ROCR5"/>
        <s v="4402-49-ROCR7"/>
        <s v="4402-49-ROCR9"/>
        <s v="4402-49-ROCY5"/>
        <s v="4402-49-ROCY7"/>
        <s v="4402-49-ROCY9"/>
        <s v="4402-49-ROSR1"/>
        <s v="4402-49-ROSR3"/>
        <s v="4402-49-ROSR5"/>
        <s v="4402-49-ROSR7"/>
        <s v="4402-49-ROSR9"/>
        <s v="4402-49-ROSY3"/>
        <s v="4402-49-ROSY5"/>
        <s v="4402-49-ROSY7"/>
        <s v="4402-49-WNBR7"/>
        <s v="4402-49-WNCG9"/>
        <s v="4402-49-WNCR1"/>
        <s v="4402-49-WNCR3"/>
        <s v="4402-49-WNCR5"/>
        <s v="4402-49-WNCR7"/>
        <s v="4402-49-WNCR9"/>
        <s v="4402-49-WNCY1"/>
        <s v="4402-49-WNCY3"/>
        <s v="4402-49-WNCY5"/>
        <s v="4402-49-WNCY7"/>
        <s v="4402-49-WOCG9"/>
        <s v="4402-49-WOCR1"/>
        <s v="4402-49-WOCR3"/>
        <s v="4402-49-WOCR5"/>
        <s v="4402-49-WOCR7"/>
        <s v="4402-49-WOCR9"/>
        <s v="4402-49-WOCY1"/>
        <s v="4402-49-WOCY3"/>
        <s v="4402-49-WOCY5"/>
        <s v="4402-49-WOCY7"/>
        <s v="4402-49-WOCY8"/>
        <s v="4402-49-WOSR3"/>
        <s v="4402-49-WOSR5"/>
        <s v="4402-49-WOSR7"/>
        <s v="4402-49-WOSR9"/>
        <s v="4402-49-WOSY1"/>
        <s v="4402-49-WOSY3"/>
        <s v="4402-49-WOSY5"/>
        <s v="4402-49-WOSY7"/>
        <s v="科技木"/>
        <s v="库存木皮"/>
        <s v="老板样品"/>
        <s v="山东退货"/>
        <s v="杂皮平衡皮"/>
        <s v="3400-49-JMKJM"/>
        <s v="3402-48-A098-ZW-12-15-JA"/>
        <s v="3402-48-A098-ZW-34-15-JA"/>
        <s v="3402-48-BX-BS-11-1181"/>
        <s v="3402-48-CA01-BB-34-15-KML"/>
        <s v="3402-48-CA18-ZW-34-15-KML"/>
        <s v="3402-48-CA28-SW-JA8"/>
        <s v="3402-48-CA28-ZW-JA8-B"/>
        <s v="3402-48-HHT-BS-11-1181"/>
        <s v="3402-48-HNS-ZW-11-1181"/>
        <s v="3402-48-HT-BS-11-1181"/>
        <s v="3402-48-HX-BS-11-1181"/>
        <s v="3402-48-MGL-ZW-11-1181"/>
        <s v="3402-48-SQL-BS-11-1181"/>
        <s v="3402-48-SXHHT-BS-11-1181"/>
        <s v="3402-48-SZ-BS-11-1181"/>
        <s v="3402-48-WM-BS-11-1181"/>
        <s v="3402-48-YJL-BS-11-1181"/>
        <s v="3402-48-YM-BS-11-1181"/>
        <s v="3402-48-YT-BS-11-1181"/>
        <s v="3402-491-WNC"/>
        <s v="3402-492-A056-ZW-12-15-KML"/>
        <s v="3402-492-A057-SW-12-15-KML"/>
        <s v="3402-492-A058-ZW-12-15-KML"/>
        <s v="3402-492-A059-SW-12-15-KML"/>
        <s v="3402-492-A092-BS-15-KML-C"/>
        <s v="3402-492-CA06-BS-12-15-KML"/>
        <s v="3402-492-CA06-BS-34-15-KML"/>
        <s v="3402-492-CA06-BS-34-15-KML-C"/>
        <s v="3402-492-CA06-JB-34-15-KML"/>
        <s v="3402-492-CA06-JB-34-15-KML-C"/>
        <s v="3402-492-CA06-ZW-12-15-KML"/>
        <s v="3402-492-CA06-ZW-34-15-KML"/>
        <s v="3402-492-CA06-ZW-34-15-KML-C"/>
        <s v="3402-492-CA07-BS-34-15-KML"/>
        <s v="3402-492-CA07-BS-34-15-KML-C"/>
        <s v="3402-492-CA18-ZW-12-15-KML-C"/>
        <s v="3402-492-CA18-ZW-34-15-KML"/>
        <s v="3402-492-CA18-ZW-34-15-KML-C"/>
        <s v="3402-492-CA20-BS-34-15-KML"/>
        <s v="3402-492-CA32-BS-12-15-KML-C"/>
        <s v="3402-492-CA32-BS-34-15-KML"/>
        <s v="3402-492-CA49-SW-KML-C"/>
        <s v="3402-492-CKD003-ZW-DQ"/>
        <s v="3402-492-CKD004-ZW-DQ"/>
        <s v="3402-492-CKD005-ZW-DQ"/>
        <s v="3402-492-CKD006-SW-DQ-C"/>
        <s v="3402-492-CKD007-ZW-DQ"/>
        <s v="3402-492-CKD008-ZW-DQ"/>
        <s v="3402-492-CKD009-SW-DQ"/>
        <s v="3402-492-CKD010-ZW-DQ-C"/>
        <s v="3402-492-WOCR9-7065-BS-34-15-KML"/>
        <s v="3402-493-CA23-ZW-PL4-C"/>
        <s v="3402-493-CA34-ZW-PL4"/>
        <s v="3402-49-BWS"/>
        <s v="3402-49-BX-BS-12-1152"/>
        <s v="3402-49-BX-BS-12-1326"/>
        <s v="3402-49-BX-BS-34-1326"/>
        <s v="3402-49-BX-ZW-12-1326"/>
        <s v="3402-49-BX-ZW-12-1479"/>
        <s v="3402-49-CA30-SW-1-2-15-SZ"/>
        <s v="3402-49-ELCR3"/>
        <s v="3402-49-ELCR3-3071"/>
        <s v="3402-49-ELCR5-3072"/>
        <s v="3402-49-ELCR7-9011"/>
        <s v="3402-49-ELCR9-5004"/>
        <s v="3402-49-ELCY3"/>
        <s v="3402-49-EUSR9-5044"/>
        <s v="3402-49-FOGS360CS"/>
        <s v="3402-49-FXC"/>
        <s v="3402-49-HHT-BBSW-34-1152"/>
        <s v="3402-49-HHT-BBSW-34-1326"/>
        <s v="3402-49-HHT-BS-12-1152"/>
        <s v="3402-49-HHT-BS-34-1152-C"/>
        <s v="3402-49-HHT-BS-34-1326-C"/>
        <s v="3402-49-HHT-SW-12-1577"/>
        <s v="3402-49-HX-ZW-34-1349"/>
        <s v="3402-49-HX-ZW-34-1349-C"/>
        <s v="3402-49-OAKGS204S"/>
        <s v="3402-49-ROCR9-5075"/>
        <s v="3402-49-ROSR3-3045"/>
        <s v="3402-49-ROSR7-9024"/>
        <s v="3402-49-ROSR9-9010"/>
        <s v="3402-49-ROSR9-9020"/>
        <s v="3402-49-TTGS302C"/>
        <s v="3402-49-WNCB9"/>
        <s v="3402-49-WNCR"/>
        <s v="3402-49-WNCR3"/>
        <s v="3402-49-WNCR3-5030"/>
        <s v="3402-49-WNCR3-5030-C"/>
        <s v="3402-49-WNCR5-5043"/>
        <s v="3402-49-WNCR5-7053"/>
        <s v="3402-49-WNCR7-5068"/>
        <s v="3402-49-WNCR7-5268"/>
        <s v="3402-49-WNCR9-9001"/>
        <s v="3402-49-WNFGS1CS"/>
        <s v="3402-49-WOCR5-3025"/>
        <s v="3402-49-WOCR5-3074"/>
        <s v="3402-49-WOCR7-1073"/>
        <s v="3402-49-WOCR7-7065"/>
        <s v="3402-49-WOCR9-7065"/>
        <s v="3402-49-WOKR3-3017"/>
        <s v="3402-49-WOKY7-3024"/>
        <s v="3402-49-WOSR3-5015"/>
        <s v="3402-49-WOSR9-9016"/>
        <s v="3402-49-WOSY3-3117"/>
        <s v="3402-49-WOSY5-1013"/>
        <s v="3402-49-YJL-ZW-34-1508"/>
        <s v="3402-49-YM-BS-12-1152"/>
        <s v="3402-49-YM-BS-34-1152-C"/>
        <s v="3402-49-YM-BS-34-1480"/>
        <s v="4402-410-ELCY5"/>
        <s v="4402-48-HHT-SW-1090"/>
        <s v="4402-49-BWSY1"/>
        <s v="4402-49-BX-SW-34-1326"/>
        <s v="4402-49-BX-ZW-12-1152"/>
        <s v="4402-49-BX-ZW-12-1479"/>
        <s v="4402-49-BX-ZW-1326-C"/>
        <s v="4402-49-BX-ZW-34-1479"/>
        <s v="4402-49-ELC"/>
        <s v="4402-49-ELC-C"/>
        <s v="4402-49-ELCG7"/>
        <s v="4402-49-ELCY1"/>
        <s v="4402-49-ELCY11"/>
        <s v="4402-49-FZZMY-SW-1326"/>
        <s v="4402-49-HHT-BBSW-WL"/>
        <s v="4402-49-HHT-SW-1090"/>
        <s v="4402-49-HHT-SW-12-1326"/>
        <s v="4402-49-HHT-SW-34-1152"/>
        <s v="4402-49-HHT-SW-34-1152-C"/>
        <s v="4402-49-HHT-SW-34-1577"/>
        <s v="4402-49-HX-ZW-12-1479"/>
        <s v="4402-49-HX-ZW-1479-C"/>
        <s v="4402-49-HX-ZW-34-1349-C"/>
        <s v="4402-49-ROCY1"/>
        <s v="4402-49-ROCY3"/>
        <s v="4402-49-ROS-C"/>
        <s v="4402-49-WNCR7-C"/>
        <s v="4402-49-WOC"/>
        <s v="4402-49-WOC-C"/>
        <s v="4402-49-WOCG7"/>
        <s v="4402-49-WOCY5-C"/>
        <s v="4402-49-WOCY9"/>
        <s v="4402-49-WOS"/>
        <s v="4402-49-WOSR3-C"/>
        <s v="4402-49-WOSY3-C"/>
        <s v="4402-49-YJL-ZW-1508-C"/>
        <s v="4402-49-YJL-ZW-34-1508"/>
        <s v="4402-49-YM-SW-12-1480"/>
        <s v="4402-49-YM-SW-1480"/>
        <s v="4402-49-YM-SW-1480-C"/>
        <s v="4402-49-YM-SW-34-1433"/>
      </sharedItems>
    </cacheField>
    <cacheField name="求和项:数量（张）" numFmtId="0">
      <sharedItems containsSemiMixedTypes="0" containsString="0" containsNumber="1" minValue="-2603.8200000000002" maxValue="3435.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">
  <r>
    <x v="0"/>
    <s v="10636"/>
    <s v="20251208"/>
    <m/>
    <s v="0"/>
    <m/>
    <n v="4"/>
    <n v="-4"/>
  </r>
  <r>
    <x v="1"/>
    <s v="9011"/>
    <s v="20251218"/>
    <m/>
    <s v="0"/>
    <m/>
    <n v="8"/>
    <n v="-8"/>
  </r>
  <r>
    <x v="2"/>
    <s v="8983"/>
    <s v="20260119"/>
    <m/>
    <s v="0"/>
    <m/>
    <n v="117"/>
    <n v="-117"/>
  </r>
  <r>
    <x v="3"/>
    <s v="8984"/>
    <s v="20251104"/>
    <m/>
    <s v="0"/>
    <m/>
    <n v="2"/>
    <n v="-2"/>
  </r>
  <r>
    <x v="3"/>
    <s v="8984"/>
    <s v="20251110"/>
    <m/>
    <s v="0"/>
    <m/>
    <n v="113"/>
    <n v="-113"/>
  </r>
  <r>
    <x v="4"/>
    <s v="8986"/>
    <s v="20250809"/>
    <m/>
    <s v="0"/>
    <m/>
    <n v="190"/>
    <n v="-190"/>
  </r>
  <r>
    <x v="5"/>
    <s v="9117"/>
    <s v="20251225"/>
    <m/>
    <s v="0"/>
    <m/>
    <n v="2"/>
    <n v="-2"/>
  </r>
  <r>
    <x v="6"/>
    <s v="8985"/>
    <s v="20260106"/>
    <m/>
    <s v="0"/>
    <m/>
    <n v="70"/>
    <n v="-70"/>
  </r>
  <r>
    <x v="7"/>
    <s v="9301"/>
    <s v="20250915"/>
    <m/>
    <s v="0"/>
    <m/>
    <n v="200"/>
    <n v="-200"/>
  </r>
  <r>
    <x v="8"/>
    <s v="2727"/>
    <s v="20241025"/>
    <m/>
    <s v="0"/>
    <m/>
    <n v="44"/>
    <n v="-44"/>
  </r>
  <r>
    <x v="9"/>
    <s v="2728"/>
    <s v="20241025"/>
    <m/>
    <s v="0"/>
    <m/>
    <n v="1075"/>
    <n v="-1075"/>
  </r>
  <r>
    <x v="10"/>
    <s v="7624"/>
    <s v="20250517"/>
    <m/>
    <s v="0"/>
    <m/>
    <n v="8"/>
    <n v="-8"/>
  </r>
  <r>
    <x v="11"/>
    <s v="6712"/>
    <s v="20241025"/>
    <m/>
    <s v="0"/>
    <m/>
    <n v="240"/>
    <n v="-240"/>
  </r>
  <r>
    <x v="12"/>
    <s v="6713"/>
    <s v="20250115"/>
    <m/>
    <s v="0"/>
    <m/>
    <n v="2"/>
    <n v="-2"/>
  </r>
  <r>
    <x v="13"/>
    <s v="5576"/>
    <s v="20241025"/>
    <m/>
    <s v="0"/>
    <m/>
    <n v="1"/>
    <n v="-1"/>
  </r>
  <r>
    <x v="14"/>
    <s v="5577"/>
    <s v="20241025"/>
    <m/>
    <s v="0"/>
    <m/>
    <n v="1"/>
    <n v="-1"/>
  </r>
  <r>
    <x v="15"/>
    <s v="7625"/>
    <s v="20250517"/>
    <m/>
    <s v="0"/>
    <m/>
    <n v="8"/>
    <n v="-8"/>
  </r>
  <r>
    <x v="16"/>
    <s v="7626"/>
    <s v="20250517"/>
    <m/>
    <s v="0"/>
    <m/>
    <n v="8"/>
    <n v="-8"/>
  </r>
  <r>
    <x v="17"/>
    <s v="7627"/>
    <s v="20250517"/>
    <m/>
    <s v="0"/>
    <m/>
    <n v="8"/>
    <n v="-8"/>
  </r>
  <r>
    <x v="18"/>
    <s v="7628"/>
    <s v="20250517"/>
    <m/>
    <s v="0"/>
    <m/>
    <n v="8"/>
    <n v="-8"/>
  </r>
  <r>
    <x v="19"/>
    <s v="7629"/>
    <s v="20250517"/>
    <m/>
    <s v="0"/>
    <m/>
    <n v="8"/>
    <n v="-8"/>
  </r>
  <r>
    <x v="20"/>
    <s v="7630"/>
    <s v="20250517"/>
    <m/>
    <s v="0"/>
    <m/>
    <n v="8"/>
    <n v="-8"/>
  </r>
  <r>
    <x v="21"/>
    <s v="7631"/>
    <s v="20250517"/>
    <m/>
    <s v="0"/>
    <m/>
    <n v="8"/>
    <n v="-8"/>
  </r>
  <r>
    <x v="22"/>
    <s v="7632"/>
    <s v="20250517"/>
    <m/>
    <s v="0"/>
    <m/>
    <n v="8"/>
    <n v="-8"/>
  </r>
  <r>
    <x v="23"/>
    <s v="7633"/>
    <s v="20250517"/>
    <m/>
    <s v="0"/>
    <m/>
    <n v="8"/>
    <n v="-8"/>
  </r>
  <r>
    <x v="24"/>
    <s v="7634"/>
    <s v="20250517"/>
    <m/>
    <s v="0"/>
    <m/>
    <n v="8"/>
    <n v="-8"/>
  </r>
  <r>
    <x v="25"/>
    <s v="7635"/>
    <s v="20250517"/>
    <m/>
    <s v="0"/>
    <m/>
    <n v="8"/>
    <n v="-8"/>
  </r>
  <r>
    <x v="26"/>
    <s v="7636"/>
    <s v="20250517"/>
    <m/>
    <s v="0"/>
    <m/>
    <n v="8"/>
    <n v="-8"/>
  </r>
  <r>
    <x v="27"/>
    <s v="6663"/>
    <s v="20250317"/>
    <m/>
    <s v="0"/>
    <m/>
    <n v="1"/>
    <n v="-1"/>
  </r>
  <r>
    <x v="28"/>
    <s v="6664"/>
    <s v="20250317"/>
    <m/>
    <s v="0"/>
    <m/>
    <n v="3"/>
    <n v="-3"/>
  </r>
  <r>
    <x v="29"/>
    <s v="6665"/>
    <s v="20250317"/>
    <m/>
    <s v="0"/>
    <m/>
    <n v="1"/>
    <n v="-1"/>
  </r>
  <r>
    <x v="30"/>
    <s v="6666"/>
    <s v="20250317"/>
    <m/>
    <s v="0"/>
    <m/>
    <n v="5"/>
    <n v="-5"/>
  </r>
  <r>
    <x v="31"/>
    <s v="6714"/>
    <s v="20241025"/>
    <m/>
    <s v="0"/>
    <m/>
    <n v="79"/>
    <n v="-79"/>
  </r>
  <r>
    <x v="31"/>
    <s v="6714"/>
    <s v="20250115"/>
    <m/>
    <s v="0"/>
    <m/>
    <n v="1"/>
    <n v="-1"/>
  </r>
  <r>
    <x v="32"/>
    <s v="6723"/>
    <s v="20250328"/>
    <m/>
    <s v="0"/>
    <m/>
    <n v="27"/>
    <n v="-27"/>
  </r>
  <r>
    <x v="33"/>
    <s v="6715"/>
    <s v="20241025"/>
    <m/>
    <s v="0"/>
    <m/>
    <n v="385"/>
    <n v="-385"/>
  </r>
  <r>
    <x v="33"/>
    <s v="6715"/>
    <s v="20250115"/>
    <m/>
    <s v="0"/>
    <m/>
    <n v="574"/>
    <n v="-574"/>
  </r>
  <r>
    <x v="33"/>
    <s v="6715"/>
    <s v="20250328"/>
    <m/>
    <s v="0"/>
    <m/>
    <n v="59"/>
    <n v="-59"/>
  </r>
  <r>
    <x v="34"/>
    <s v="6724"/>
    <s v="20241025"/>
    <m/>
    <s v="0"/>
    <m/>
    <n v="54"/>
    <n v="-54"/>
  </r>
  <r>
    <x v="35"/>
    <s v="6716"/>
    <s v="20241025"/>
    <m/>
    <s v="0"/>
    <m/>
    <n v="16"/>
    <n v="-16"/>
  </r>
  <r>
    <x v="35"/>
    <s v="6716"/>
    <s v="20250115"/>
    <m/>
    <s v="0"/>
    <m/>
    <n v="91"/>
    <n v="-91"/>
  </r>
  <r>
    <x v="36"/>
    <s v="6725"/>
    <s v="20241025"/>
    <m/>
    <s v="0"/>
    <m/>
    <n v="1"/>
    <n v="-1"/>
  </r>
  <r>
    <x v="37"/>
    <s v="6668"/>
    <s v="20250320"/>
    <m/>
    <s v="0"/>
    <m/>
    <n v="102"/>
    <n v="-102"/>
  </r>
  <r>
    <x v="38"/>
    <s v="6669"/>
    <s v="20241025"/>
    <m/>
    <s v="0"/>
    <m/>
    <n v="396"/>
    <n v="-396"/>
  </r>
  <r>
    <x v="38"/>
    <s v="6669"/>
    <s v="20250115"/>
    <m/>
    <s v="0"/>
    <m/>
    <n v="92"/>
    <n v="-92"/>
  </r>
  <r>
    <x v="38"/>
    <s v="6669"/>
    <s v="20250320"/>
    <m/>
    <s v="0"/>
    <m/>
    <n v="490"/>
    <n v="-490"/>
  </r>
  <r>
    <x v="39"/>
    <s v="6670"/>
    <s v="20241025"/>
    <m/>
    <s v="0"/>
    <m/>
    <n v="61"/>
    <n v="-61"/>
  </r>
  <r>
    <x v="39"/>
    <s v="6670"/>
    <s v="20250320"/>
    <m/>
    <s v="0"/>
    <m/>
    <n v="7"/>
    <n v="-7"/>
  </r>
  <r>
    <x v="40"/>
    <s v="6726"/>
    <s v="20241025"/>
    <m/>
    <s v="0"/>
    <m/>
    <n v="2"/>
    <n v="-2"/>
  </r>
  <r>
    <x v="41"/>
    <s v="6727"/>
    <s v="20241025"/>
    <m/>
    <s v="0"/>
    <m/>
    <n v="7"/>
    <n v="-7"/>
  </r>
  <r>
    <x v="42"/>
    <s v="7585"/>
    <s v="20250115"/>
    <m/>
    <s v="0"/>
    <m/>
    <n v="40"/>
    <n v="-40"/>
  </r>
  <r>
    <x v="42"/>
    <s v="7585"/>
    <s v="20250408"/>
    <m/>
    <s v="0"/>
    <m/>
    <n v="15"/>
    <n v="-15"/>
  </r>
  <r>
    <x v="43"/>
    <s v="6719"/>
    <s v="20250416"/>
    <m/>
    <s v="0"/>
    <m/>
    <n v="12"/>
    <n v="-12"/>
  </r>
  <r>
    <x v="44"/>
    <s v="6728"/>
    <s v="20241025"/>
    <m/>
    <s v="0"/>
    <m/>
    <n v="111"/>
    <n v="-111"/>
  </r>
  <r>
    <x v="44"/>
    <s v="6728"/>
    <s v="20250416"/>
    <m/>
    <s v="0"/>
    <m/>
    <n v="11"/>
    <n v="-11"/>
  </r>
  <r>
    <x v="45"/>
    <s v="6720"/>
    <s v="20241025"/>
    <m/>
    <s v="0"/>
    <m/>
    <n v="138"/>
    <n v="-138"/>
  </r>
  <r>
    <x v="45"/>
    <s v="6720"/>
    <s v="20250115"/>
    <m/>
    <s v="0"/>
    <m/>
    <n v="3"/>
    <n v="-3"/>
  </r>
  <r>
    <x v="46"/>
    <s v="6730"/>
    <s v="20241025"/>
    <m/>
    <s v="0"/>
    <m/>
    <n v="55"/>
    <n v="-55"/>
  </r>
  <r>
    <x v="47"/>
    <s v="6722"/>
    <s v="20250506"/>
    <m/>
    <s v="0"/>
    <m/>
    <n v="3"/>
    <n v="-3"/>
  </r>
  <r>
    <x v="48"/>
    <s v="6731"/>
    <s v="20241025"/>
    <m/>
    <s v="0"/>
    <m/>
    <n v="3"/>
    <n v="-3"/>
  </r>
  <r>
    <x v="49"/>
    <s v="5633"/>
    <s v="20241025"/>
    <m/>
    <s v="0"/>
    <m/>
    <n v="6"/>
    <n v="-6"/>
  </r>
  <r>
    <x v="50"/>
    <s v="5634"/>
    <s v="20241025"/>
    <m/>
    <s v="0"/>
    <m/>
    <n v="7"/>
    <n v="-7"/>
  </r>
  <r>
    <x v="51"/>
    <s v="5635"/>
    <s v="20241025"/>
    <m/>
    <s v="0"/>
    <m/>
    <n v="2"/>
    <n v="-2"/>
  </r>
  <r>
    <x v="52"/>
    <s v="6732"/>
    <s v="20241025"/>
    <m/>
    <s v="0"/>
    <m/>
    <n v="6"/>
    <n v="-6"/>
  </r>
  <r>
    <x v="53"/>
    <s v="5637"/>
    <s v="20241025"/>
    <m/>
    <s v="0"/>
    <m/>
    <n v="3"/>
    <n v="-3"/>
  </r>
  <r>
    <x v="54"/>
    <s v="5638"/>
    <s v="20241025"/>
    <m/>
    <s v="0"/>
    <m/>
    <n v="7"/>
    <n v="-7"/>
  </r>
  <r>
    <x v="55"/>
    <s v="5639"/>
    <s v="20241025"/>
    <m/>
    <s v="0"/>
    <m/>
    <n v="8"/>
    <n v="-8"/>
  </r>
  <r>
    <x v="56"/>
    <s v="6733"/>
    <s v="20241025"/>
    <m/>
    <s v="0"/>
    <m/>
    <n v="3"/>
    <n v="-3"/>
  </r>
  <r>
    <x v="57"/>
    <s v="8704"/>
    <s v="20240711"/>
    <m/>
    <s v="0"/>
    <m/>
    <n v="3"/>
    <n v="-3"/>
  </r>
  <r>
    <x v="58"/>
    <s v="6734"/>
    <s v="20241025"/>
    <m/>
    <s v="0"/>
    <m/>
    <n v="18"/>
    <n v="-18"/>
  </r>
  <r>
    <x v="59"/>
    <s v="5652"/>
    <s v="20241025"/>
    <m/>
    <s v="0"/>
    <m/>
    <n v="12"/>
    <n v="-12"/>
  </r>
  <r>
    <x v="60"/>
    <s v="9377"/>
    <s v="20250919"/>
    <m/>
    <s v="0"/>
    <m/>
    <n v="2"/>
    <n v="-2"/>
  </r>
  <r>
    <x v="61"/>
    <s v="7280"/>
    <s v="20250430"/>
    <m/>
    <s v="0"/>
    <m/>
    <n v="17"/>
    <n v="-17"/>
  </r>
  <r>
    <x v="62"/>
    <s v="7281"/>
    <s v="20250430"/>
    <m/>
    <s v="0"/>
    <m/>
    <n v="4"/>
    <n v="-4"/>
  </r>
  <r>
    <x v="62"/>
    <s v="7281"/>
    <s v="20250527"/>
    <m/>
    <s v="0"/>
    <m/>
    <n v="43"/>
    <n v="-43"/>
  </r>
  <r>
    <x v="62"/>
    <s v="7281"/>
    <s v="20250614"/>
    <m/>
    <s v="0"/>
    <m/>
    <n v="48"/>
    <n v="-48"/>
  </r>
  <r>
    <x v="63"/>
    <s v="7989"/>
    <s v="20250708"/>
    <m/>
    <s v="0"/>
    <m/>
    <n v="241"/>
    <n v="-241"/>
  </r>
  <r>
    <x v="64"/>
    <s v="7805"/>
    <s v="20250614"/>
    <m/>
    <s v="0"/>
    <m/>
    <n v="35"/>
    <n v="-35"/>
  </r>
  <r>
    <x v="65"/>
    <s v="7621"/>
    <s v="20250515"/>
    <m/>
    <s v="0"/>
    <m/>
    <n v="1"/>
    <n v="-1"/>
  </r>
  <r>
    <x v="66"/>
    <s v="4320"/>
    <s v="20240812"/>
    <m/>
    <s v="0"/>
    <m/>
    <n v="283"/>
    <n v="-283"/>
  </r>
  <r>
    <x v="67"/>
    <s v="8227"/>
    <s v="2050726"/>
    <m/>
    <s v="0"/>
    <m/>
    <n v="98"/>
    <n v="-98"/>
  </r>
  <r>
    <x v="68"/>
    <s v="9452"/>
    <s v="20250926"/>
    <m/>
    <s v="0"/>
    <m/>
    <n v="187"/>
    <n v="-187"/>
  </r>
  <r>
    <x v="68"/>
    <s v="9452"/>
    <s v="20251114"/>
    <m/>
    <s v="0"/>
    <m/>
    <n v="103"/>
    <n v="-103"/>
  </r>
  <r>
    <x v="69"/>
    <s v="8228"/>
    <s v="2050726"/>
    <m/>
    <s v="0"/>
    <m/>
    <n v="92"/>
    <n v="-92"/>
  </r>
  <r>
    <x v="70"/>
    <s v="9453"/>
    <s v="20251114"/>
    <m/>
    <s v="0"/>
    <m/>
    <n v="107"/>
    <n v="-107"/>
  </r>
  <r>
    <x v="70"/>
    <s v="9453"/>
    <s v="20260121"/>
    <m/>
    <s v="0"/>
    <m/>
    <n v="347"/>
    <n v="-347"/>
  </r>
  <r>
    <x v="71"/>
    <s v="9013"/>
    <s v="20251114"/>
    <m/>
    <s v="0"/>
    <m/>
    <n v="45"/>
    <n v="-45"/>
  </r>
  <r>
    <x v="71"/>
    <s v="9013"/>
    <s v="20251223"/>
    <m/>
    <s v="0"/>
    <m/>
    <n v="269"/>
    <n v="-269"/>
  </r>
  <r>
    <x v="72"/>
    <s v="9963"/>
    <s v="20251104"/>
    <m/>
    <s v="0"/>
    <m/>
    <n v="76"/>
    <n v="-76"/>
  </r>
  <r>
    <x v="72"/>
    <s v="9963"/>
    <s v="20260112"/>
    <m/>
    <s v="0"/>
    <m/>
    <n v="247"/>
    <n v="-247"/>
  </r>
  <r>
    <x v="73"/>
    <s v="8230"/>
    <s v="2050726"/>
    <m/>
    <s v="0"/>
    <m/>
    <n v="191"/>
    <n v="-191"/>
  </r>
  <r>
    <x v="74"/>
    <s v="9910"/>
    <s v="20251015"/>
    <m/>
    <s v="0"/>
    <m/>
    <n v="45"/>
    <n v="-45"/>
  </r>
  <r>
    <x v="74"/>
    <s v="9910"/>
    <s v="20251125"/>
    <m/>
    <s v="0"/>
    <m/>
    <n v="62"/>
    <n v="-62"/>
  </r>
  <r>
    <x v="74"/>
    <s v="9910"/>
    <s v="20251128"/>
    <m/>
    <s v="0"/>
    <m/>
    <n v="62"/>
    <n v="-62"/>
  </r>
  <r>
    <x v="75"/>
    <s v="9378"/>
    <s v="20250919"/>
    <m/>
    <s v="0"/>
    <m/>
    <n v="3"/>
    <n v="-3"/>
  </r>
  <r>
    <x v="76"/>
    <s v="7296"/>
    <s v="20250604"/>
    <m/>
    <s v="0"/>
    <m/>
    <n v="3"/>
    <n v="-3"/>
  </r>
  <r>
    <x v="77"/>
    <s v="7806"/>
    <s v="20250615"/>
    <m/>
    <s v="0"/>
    <m/>
    <n v="12"/>
    <n v="-12"/>
  </r>
  <r>
    <x v="78"/>
    <s v="7321"/>
    <s v="20250514"/>
    <m/>
    <s v="0"/>
    <m/>
    <n v="1"/>
    <n v="-1"/>
  </r>
  <r>
    <x v="79"/>
    <s v="7606"/>
    <s v="20250514"/>
    <m/>
    <s v="0"/>
    <m/>
    <n v="1"/>
    <n v="-1"/>
  </r>
  <r>
    <x v="80"/>
    <s v="7326"/>
    <s v="20250508"/>
    <m/>
    <s v="0"/>
    <m/>
    <n v="6"/>
    <n v="-6"/>
  </r>
  <r>
    <x v="81"/>
    <s v="7728"/>
    <s v="20250527"/>
    <m/>
    <s v="0"/>
    <m/>
    <n v="65"/>
    <n v="-65"/>
  </r>
  <r>
    <x v="81"/>
    <s v="7728"/>
    <s v="20250531"/>
    <m/>
    <s v="0"/>
    <m/>
    <n v="2"/>
    <n v="-2"/>
  </r>
  <r>
    <x v="81"/>
    <s v="7728"/>
    <s v="20250622"/>
    <m/>
    <s v="0"/>
    <m/>
    <n v="134"/>
    <n v="-134"/>
  </r>
  <r>
    <x v="81"/>
    <s v="7728"/>
    <s v="20250624"/>
    <m/>
    <s v="0"/>
    <m/>
    <n v="35"/>
    <n v="-35"/>
  </r>
  <r>
    <x v="82"/>
    <s v="7622"/>
    <s v="20250516"/>
    <m/>
    <s v="0"/>
    <m/>
    <n v="34"/>
    <n v="-34"/>
  </r>
  <r>
    <x v="82"/>
    <s v="7622"/>
    <s v="20250526"/>
    <m/>
    <s v="0"/>
    <m/>
    <n v="2"/>
    <n v="-2"/>
  </r>
  <r>
    <x v="83"/>
    <s v="7671"/>
    <s v="20250526"/>
    <m/>
    <s v="0"/>
    <m/>
    <n v="27"/>
    <n v="-27"/>
  </r>
  <r>
    <x v="84"/>
    <s v="9304"/>
    <s v="20251104"/>
    <m/>
    <s v="0"/>
    <m/>
    <n v="95"/>
    <n v="-95"/>
  </r>
  <r>
    <x v="85"/>
    <s v="9379"/>
    <s v="20250919"/>
    <m/>
    <s v="0"/>
    <m/>
    <n v="5"/>
    <n v="-5"/>
  </r>
  <r>
    <x v="86"/>
    <s v="10390"/>
    <s v="20251126"/>
    <m/>
    <s v="0"/>
    <m/>
    <n v="29"/>
    <n v="-29"/>
  </r>
  <r>
    <x v="87"/>
    <s v="8102"/>
    <s v="20250715"/>
    <m/>
    <s v="0"/>
    <m/>
    <n v="332"/>
    <n v="-332"/>
  </r>
  <r>
    <x v="88"/>
    <s v="9305"/>
    <s v="20250915"/>
    <m/>
    <s v="0"/>
    <m/>
    <n v="44"/>
    <n v="-44"/>
  </r>
  <r>
    <x v="88"/>
    <s v="9305"/>
    <s v="20250922"/>
    <m/>
    <s v="0"/>
    <m/>
    <n v="246"/>
    <n v="-246"/>
  </r>
  <r>
    <x v="89"/>
    <s v="10391"/>
    <s v="20260108"/>
    <m/>
    <s v="0"/>
    <m/>
    <n v="240"/>
    <n v="-240"/>
  </r>
  <r>
    <x v="90"/>
    <s v="8103"/>
    <s v="20250715"/>
    <m/>
    <s v="0"/>
    <m/>
    <n v="56"/>
    <n v="-56"/>
  </r>
  <r>
    <x v="90"/>
    <s v="8103"/>
    <s v="20250717"/>
    <m/>
    <s v="0"/>
    <m/>
    <n v="15"/>
    <n v="-15"/>
  </r>
  <r>
    <x v="91"/>
    <s v="8290"/>
    <s v="20250804"/>
    <m/>
    <s v="0"/>
    <m/>
    <n v="54"/>
    <n v="-54"/>
  </r>
  <r>
    <x v="92"/>
    <s v="8108"/>
    <s v="20250730"/>
    <m/>
    <s v="0"/>
    <m/>
    <n v="39"/>
    <n v="-39"/>
  </r>
  <r>
    <x v="93"/>
    <s v="9935"/>
    <s v="20251021"/>
    <m/>
    <s v="0"/>
    <m/>
    <n v="52"/>
    <n v="-52"/>
  </r>
  <r>
    <x v="93"/>
    <s v="9935"/>
    <s v="20251126"/>
    <m/>
    <s v="0"/>
    <m/>
    <n v="100"/>
    <n v="-100"/>
  </r>
  <r>
    <x v="94"/>
    <s v="10491"/>
    <s v="20251126"/>
    <m/>
    <s v="0"/>
    <m/>
    <n v="30"/>
    <n v="-30"/>
  </r>
  <r>
    <x v="95"/>
    <s v="8289"/>
    <s v="20250804"/>
    <m/>
    <s v="0"/>
    <m/>
    <n v="567"/>
    <n v="-567"/>
  </r>
  <r>
    <x v="96"/>
    <s v="9009"/>
    <s v="20251103"/>
    <m/>
    <s v="0"/>
    <m/>
    <n v="80"/>
    <n v="-80"/>
  </r>
  <r>
    <x v="96"/>
    <s v="9009"/>
    <s v="20251119"/>
    <m/>
    <s v="0"/>
    <m/>
    <n v="223"/>
    <n v="-223"/>
  </r>
  <r>
    <x v="96"/>
    <s v="9009"/>
    <s v="20251218"/>
    <m/>
    <s v="0"/>
    <m/>
    <n v="166"/>
    <n v="-166"/>
  </r>
  <r>
    <x v="97"/>
    <s v="9010"/>
    <s v="20251209"/>
    <m/>
    <s v="0"/>
    <m/>
    <n v="47"/>
    <n v="-47"/>
  </r>
  <r>
    <x v="97"/>
    <s v="9010"/>
    <s v="20251218"/>
    <m/>
    <s v="0"/>
    <m/>
    <n v="118"/>
    <n v="-118"/>
  </r>
  <r>
    <x v="98"/>
    <s v="8109"/>
    <s v="20250721"/>
    <m/>
    <s v="0"/>
    <m/>
    <n v="245"/>
    <n v="-245"/>
  </r>
  <r>
    <x v="1"/>
    <s v="9011"/>
    <s v="20260106"/>
    <m/>
    <s v="0"/>
    <m/>
    <n v="260"/>
    <n v="-260"/>
  </r>
  <r>
    <x v="1"/>
    <s v="9011"/>
    <s v="20260120"/>
    <m/>
    <s v="0"/>
    <m/>
    <n v="237"/>
    <n v="-237"/>
  </r>
  <r>
    <x v="99"/>
    <s v="10806"/>
    <s v="20251218"/>
    <m/>
    <s v="0"/>
    <m/>
    <n v="121"/>
    <n v="-121"/>
  </r>
  <r>
    <x v="100"/>
    <s v="10548"/>
    <s v="20251128"/>
    <m/>
    <s v="0"/>
    <m/>
    <n v="435"/>
    <n v="-435"/>
  </r>
  <r>
    <x v="101"/>
    <s v="8110"/>
    <s v="20250721"/>
    <m/>
    <s v="0"/>
    <m/>
    <n v="196"/>
    <n v="-196"/>
  </r>
  <r>
    <x v="101"/>
    <s v="8110"/>
    <s v="2050722"/>
    <m/>
    <s v="0"/>
    <m/>
    <n v="25"/>
    <n v="-25"/>
  </r>
  <r>
    <x v="102"/>
    <s v="9012"/>
    <s v="20251225"/>
    <m/>
    <s v="0"/>
    <m/>
    <n v="177"/>
    <n v="-177"/>
  </r>
  <r>
    <x v="2"/>
    <s v="8983"/>
    <s v="20250809"/>
    <m/>
    <s v="0"/>
    <m/>
    <n v="39"/>
    <n v="-39"/>
  </r>
  <r>
    <x v="3"/>
    <s v="8984"/>
    <s v="20251110"/>
    <m/>
    <s v="0"/>
    <m/>
    <n v="133"/>
    <n v="-133"/>
  </r>
  <r>
    <x v="3"/>
    <s v="8984"/>
    <s v="20251225"/>
    <m/>
    <s v="0"/>
    <m/>
    <n v="212"/>
    <n v="-212"/>
  </r>
  <r>
    <x v="4"/>
    <s v="8986"/>
    <s v="20250809"/>
    <m/>
    <s v="0"/>
    <m/>
    <n v="78"/>
    <n v="-78"/>
  </r>
  <r>
    <x v="5"/>
    <s v="9117"/>
    <s v="20250820"/>
    <m/>
    <s v="0"/>
    <m/>
    <n v="467"/>
    <n v="-467"/>
  </r>
  <r>
    <x v="5"/>
    <s v="9117"/>
    <s v="20251126"/>
    <m/>
    <s v="0"/>
    <m/>
    <n v="34"/>
    <n v="-34"/>
  </r>
  <r>
    <x v="5"/>
    <s v="9117"/>
    <s v="20251223"/>
    <m/>
    <s v="0"/>
    <m/>
    <n v="306"/>
    <n v="-306"/>
  </r>
  <r>
    <x v="5"/>
    <s v="9117"/>
    <s v="20251225"/>
    <m/>
    <s v="0"/>
    <m/>
    <n v="60"/>
    <n v="-60"/>
  </r>
  <r>
    <x v="103"/>
    <s v="9858"/>
    <s v="20251014"/>
    <m/>
    <s v="0"/>
    <m/>
    <n v="5"/>
    <n v="-5"/>
  </r>
  <r>
    <x v="104"/>
    <s v="10392"/>
    <s v="20251125"/>
    <m/>
    <s v="0"/>
    <m/>
    <n v="68"/>
    <n v="-68"/>
  </r>
  <r>
    <x v="105"/>
    <s v="8987"/>
    <s v="20250809"/>
    <m/>
    <s v="0"/>
    <m/>
    <n v="85"/>
    <n v="-85"/>
  </r>
  <r>
    <x v="106"/>
    <s v="9219"/>
    <s v="20250904"/>
    <m/>
    <s v="0"/>
    <m/>
    <n v="7"/>
    <n v="-7"/>
  </r>
  <r>
    <x v="107"/>
    <s v="9133"/>
    <s v="20250904"/>
    <m/>
    <s v="0"/>
    <m/>
    <n v="8"/>
    <n v="-8"/>
  </r>
  <r>
    <x v="6"/>
    <s v="8985"/>
    <s v="20251014"/>
    <m/>
    <s v="0"/>
    <m/>
    <n v="6"/>
    <n v="-6"/>
  </r>
  <r>
    <x v="6"/>
    <s v="8985"/>
    <s v="20251021"/>
    <m/>
    <s v="0"/>
    <m/>
    <n v="48"/>
    <n v="-48"/>
  </r>
  <r>
    <x v="6"/>
    <s v="8985"/>
    <s v="20251104"/>
    <m/>
    <s v="0"/>
    <m/>
    <n v="105"/>
    <n v="-105"/>
  </r>
  <r>
    <x v="6"/>
    <s v="8985"/>
    <s v="20251110"/>
    <m/>
    <s v="0"/>
    <m/>
    <n v="175"/>
    <n v="-175"/>
  </r>
  <r>
    <x v="6"/>
    <s v="8985"/>
    <s v="20251218"/>
    <m/>
    <s v="0"/>
    <m/>
    <n v="2"/>
    <n v="-2"/>
  </r>
  <r>
    <x v="108"/>
    <s v="7263"/>
    <s v="20250428"/>
    <m/>
    <s v="0"/>
    <m/>
    <n v="41"/>
    <n v="-41"/>
  </r>
  <r>
    <x v="109"/>
    <s v="7324"/>
    <s v="20250508"/>
    <m/>
    <s v="0"/>
    <m/>
    <n v="14"/>
    <n v="-14"/>
  </r>
  <r>
    <x v="110"/>
    <s v="7655"/>
    <s v="202505018"/>
    <m/>
    <s v="0"/>
    <m/>
    <n v="3"/>
    <n v="-3"/>
  </r>
  <r>
    <x v="111"/>
    <s v="7819"/>
    <s v="20250619"/>
    <m/>
    <s v="0"/>
    <m/>
    <n v="2"/>
    <n v="-2"/>
  </r>
  <r>
    <x v="112"/>
    <s v="9180"/>
    <s v="20250902"/>
    <m/>
    <s v="0"/>
    <m/>
    <n v="20"/>
    <n v="-20"/>
  </r>
  <r>
    <x v="113"/>
    <s v="9181"/>
    <s v="20250902"/>
    <m/>
    <s v="0"/>
    <m/>
    <n v="20"/>
    <n v="-20"/>
  </r>
  <r>
    <x v="114"/>
    <s v="9182"/>
    <s v="20250902"/>
    <m/>
    <s v="0"/>
    <m/>
    <n v="20"/>
    <n v="-20"/>
  </r>
  <r>
    <x v="115"/>
    <s v="9183"/>
    <s v="20250902"/>
    <m/>
    <s v="0"/>
    <m/>
    <n v="15"/>
    <n v="-15"/>
  </r>
  <r>
    <x v="116"/>
    <m/>
    <m/>
    <m/>
    <m/>
    <m/>
    <n v="1327"/>
    <n v="-1327"/>
  </r>
  <r>
    <x v="116"/>
    <m/>
    <m/>
    <m/>
    <m/>
    <m/>
    <n v="20"/>
    <n v="-20"/>
  </r>
  <r>
    <x v="117"/>
    <m/>
    <m/>
    <m/>
    <m/>
    <m/>
    <n v="410"/>
    <n v="-410"/>
  </r>
  <r>
    <x v="118"/>
    <m/>
    <m/>
    <m/>
    <m/>
    <m/>
    <n v="25.16"/>
    <n v="-25.16"/>
  </r>
  <r>
    <x v="119"/>
    <m/>
    <m/>
    <m/>
    <m/>
    <m/>
    <n v="7.18"/>
    <n v="-7.18"/>
  </r>
  <r>
    <x v="120"/>
    <m/>
    <m/>
    <m/>
    <m/>
    <m/>
    <n v="20.16"/>
    <n v="-20.16"/>
  </r>
  <r>
    <x v="121"/>
    <m/>
    <m/>
    <m/>
    <m/>
    <m/>
    <n v="1289.83"/>
    <n v="-1289.83"/>
  </r>
  <r>
    <x v="122"/>
    <m/>
    <m/>
    <m/>
    <m/>
    <m/>
    <n v="111.46"/>
    <n v="-111.46"/>
  </r>
  <r>
    <x v="122"/>
    <m/>
    <m/>
    <m/>
    <m/>
    <m/>
    <n v="679.5"/>
    <n v="-679.5"/>
  </r>
  <r>
    <x v="123"/>
    <m/>
    <m/>
    <m/>
    <m/>
    <m/>
    <n v="2051.75"/>
    <n v="-2051.75"/>
  </r>
  <r>
    <x v="124"/>
    <m/>
    <m/>
    <m/>
    <m/>
    <m/>
    <n v="70"/>
    <n v="-70"/>
  </r>
  <r>
    <x v="125"/>
    <m/>
    <m/>
    <m/>
    <m/>
    <m/>
    <n v="875.03"/>
    <n v="-875.03"/>
  </r>
  <r>
    <x v="126"/>
    <m/>
    <m/>
    <m/>
    <m/>
    <m/>
    <n v="68.260000000000005"/>
    <n v="-68.260000000000005"/>
  </r>
  <r>
    <x v="127"/>
    <m/>
    <m/>
    <m/>
    <m/>
    <m/>
    <n v="209.32"/>
    <n v="-209.32"/>
  </r>
  <r>
    <x v="127"/>
    <m/>
    <m/>
    <m/>
    <m/>
    <m/>
    <n v="188.84"/>
    <n v="-188.84"/>
  </r>
  <r>
    <x v="127"/>
    <m/>
    <m/>
    <m/>
    <m/>
    <m/>
    <n v="197.84"/>
    <n v="-197.84"/>
  </r>
  <r>
    <x v="128"/>
    <m/>
    <m/>
    <m/>
    <m/>
    <m/>
    <n v="166.4"/>
    <n v="-166.4"/>
  </r>
  <r>
    <x v="129"/>
    <m/>
    <m/>
    <m/>
    <m/>
    <m/>
    <n v="683.25"/>
    <n v="-683.25"/>
  </r>
  <r>
    <x v="130"/>
    <m/>
    <m/>
    <m/>
    <m/>
    <m/>
    <n v="106.86"/>
    <n v="-106.86"/>
  </r>
  <r>
    <x v="131"/>
    <m/>
    <m/>
    <m/>
    <m/>
    <m/>
    <n v="821.22"/>
    <n v="-821.22"/>
  </r>
  <r>
    <x v="131"/>
    <m/>
    <m/>
    <m/>
    <m/>
    <m/>
    <n v="403.97"/>
    <n v="-403.97"/>
  </r>
  <r>
    <x v="132"/>
    <m/>
    <m/>
    <m/>
    <m/>
    <m/>
    <n v="134.27000000000001"/>
    <n v="-134.27000000000001"/>
  </r>
  <r>
    <x v="132"/>
    <m/>
    <m/>
    <m/>
    <m/>
    <m/>
    <n v="74.59"/>
    <n v="-74.59"/>
  </r>
  <r>
    <x v="133"/>
    <m/>
    <m/>
    <m/>
    <m/>
    <m/>
    <n v="51.84"/>
    <n v="-51.84"/>
  </r>
  <r>
    <x v="133"/>
    <m/>
    <m/>
    <m/>
    <m/>
    <m/>
    <n v="334.65"/>
    <n v="-334.65"/>
  </r>
  <r>
    <x v="134"/>
    <m/>
    <m/>
    <m/>
    <m/>
    <m/>
    <n v="186.61"/>
    <n v="-186.61"/>
  </r>
  <r>
    <x v="135"/>
    <m/>
    <m/>
    <m/>
    <m/>
    <m/>
    <n v="280.32"/>
    <n v="-280.32"/>
  </r>
  <r>
    <x v="136"/>
    <m/>
    <m/>
    <m/>
    <m/>
    <m/>
    <n v="369.13"/>
    <n v="-369.13"/>
  </r>
  <r>
    <x v="136"/>
    <m/>
    <m/>
    <m/>
    <m/>
    <m/>
    <n v="588.79"/>
    <n v="-588.79"/>
  </r>
  <r>
    <x v="136"/>
    <m/>
    <m/>
    <m/>
    <m/>
    <m/>
    <n v="208.44"/>
    <n v="-208.44"/>
  </r>
  <r>
    <x v="137"/>
    <m/>
    <m/>
    <m/>
    <m/>
    <m/>
    <n v="6.64"/>
    <n v="-6.64"/>
  </r>
  <r>
    <x v="138"/>
    <m/>
    <m/>
    <m/>
    <m/>
    <m/>
    <n v="12.15"/>
    <n v="-12.15"/>
  </r>
  <r>
    <x v="139"/>
    <m/>
    <m/>
    <m/>
    <m/>
    <m/>
    <n v="162.00800000000001"/>
    <n v="-162.00800000000001"/>
  </r>
  <r>
    <x v="140"/>
    <m/>
    <m/>
    <m/>
    <m/>
    <m/>
    <n v="56.27"/>
    <n v="-56.27"/>
  </r>
  <r>
    <x v="141"/>
    <m/>
    <m/>
    <m/>
    <m/>
    <m/>
    <n v="1129.8"/>
    <n v="-1129.8"/>
  </r>
  <r>
    <x v="142"/>
    <m/>
    <m/>
    <m/>
    <m/>
    <m/>
    <n v="69.22"/>
    <n v="-69.22"/>
  </r>
  <r>
    <x v="143"/>
    <m/>
    <m/>
    <m/>
    <m/>
    <m/>
    <n v="28.71"/>
    <n v="-28.71"/>
  </r>
  <r>
    <x v="144"/>
    <m/>
    <m/>
    <m/>
    <m/>
    <m/>
    <n v="1375.11"/>
    <n v="-1375.11"/>
  </r>
  <r>
    <x v="145"/>
    <m/>
    <m/>
    <m/>
    <m/>
    <m/>
    <n v="170.69"/>
    <n v="-170.69"/>
  </r>
  <r>
    <x v="146"/>
    <m/>
    <m/>
    <m/>
    <m/>
    <m/>
    <n v="35.83"/>
    <n v="-35.83"/>
  </r>
  <r>
    <x v="147"/>
    <m/>
    <m/>
    <m/>
    <m/>
    <m/>
    <n v="96.24"/>
    <n v="-96.24"/>
  </r>
  <r>
    <x v="148"/>
    <m/>
    <m/>
    <m/>
    <m/>
    <m/>
    <n v="162.41999999999999"/>
    <n v="-162.41999999999999"/>
  </r>
  <r>
    <x v="148"/>
    <m/>
    <m/>
    <m/>
    <m/>
    <m/>
    <n v="23.04"/>
    <n v="-23.04"/>
  </r>
  <r>
    <x v="149"/>
    <m/>
    <m/>
    <m/>
    <m/>
    <m/>
    <n v="257.97000000000003"/>
    <n v="-257.97000000000003"/>
  </r>
  <r>
    <x v="150"/>
    <m/>
    <m/>
    <m/>
    <m/>
    <m/>
    <n v="168.05"/>
    <n v="-168.05"/>
  </r>
  <r>
    <x v="151"/>
    <m/>
    <m/>
    <m/>
    <m/>
    <m/>
    <n v="80.64"/>
    <n v="-80.64"/>
  </r>
  <r>
    <x v="151"/>
    <m/>
    <m/>
    <m/>
    <m/>
    <m/>
    <n v="236.92"/>
    <n v="-236.92"/>
  </r>
  <r>
    <x v="152"/>
    <m/>
    <m/>
    <m/>
    <m/>
    <m/>
    <n v="400.09"/>
    <n v="-400.09"/>
  </r>
  <r>
    <x v="153"/>
    <m/>
    <m/>
    <m/>
    <m/>
    <m/>
    <n v="533.53"/>
    <n v="-533.53"/>
  </r>
  <r>
    <x v="154"/>
    <m/>
    <m/>
    <m/>
    <m/>
    <m/>
    <n v="219.2"/>
    <n v="-219.2"/>
  </r>
  <r>
    <x v="154"/>
    <m/>
    <m/>
    <m/>
    <m/>
    <m/>
    <n v="244.54"/>
    <n v="-244.54"/>
  </r>
  <r>
    <x v="154"/>
    <m/>
    <m/>
    <m/>
    <m/>
    <m/>
    <n v="407.21"/>
    <n v="-407.21"/>
  </r>
  <r>
    <x v="155"/>
    <m/>
    <m/>
    <m/>
    <m/>
    <m/>
    <n v="47.44"/>
    <n v="-47.44"/>
  </r>
  <r>
    <x v="155"/>
    <m/>
    <m/>
    <m/>
    <m/>
    <m/>
    <n v="239.04"/>
    <n v="-239.04"/>
  </r>
  <r>
    <x v="156"/>
    <m/>
    <m/>
    <m/>
    <m/>
    <m/>
    <n v="63.41"/>
    <n v="-63.41"/>
  </r>
  <r>
    <x v="157"/>
    <m/>
    <m/>
    <m/>
    <m/>
    <m/>
    <n v="163.38999999999999"/>
    <n v="-163.38999999999999"/>
  </r>
  <r>
    <x v="157"/>
    <m/>
    <m/>
    <m/>
    <m/>
    <m/>
    <n v="976.27"/>
    <n v="-976.27"/>
  </r>
  <r>
    <x v="157"/>
    <m/>
    <m/>
    <m/>
    <m/>
    <m/>
    <n v="330.1"/>
    <n v="-330.1"/>
  </r>
  <r>
    <x v="158"/>
    <m/>
    <m/>
    <m/>
    <m/>
    <m/>
    <n v="100.44"/>
    <n v="-100.44"/>
  </r>
  <r>
    <x v="158"/>
    <m/>
    <m/>
    <m/>
    <m/>
    <m/>
    <n v="243.6"/>
    <n v="-243.6"/>
  </r>
  <r>
    <x v="159"/>
    <m/>
    <m/>
    <m/>
    <m/>
    <m/>
    <n v="1538.19"/>
    <n v="-1538.19"/>
  </r>
  <r>
    <x v="160"/>
    <m/>
    <m/>
    <m/>
    <m/>
    <m/>
    <n v="946.95"/>
    <n v="-946.95"/>
  </r>
  <r>
    <x v="161"/>
    <m/>
    <m/>
    <m/>
    <m/>
    <m/>
    <n v="114.14"/>
    <n v="-114.14"/>
  </r>
  <r>
    <x v="161"/>
    <m/>
    <m/>
    <m/>
    <m/>
    <m/>
    <n v="139.47999999999999"/>
    <n v="-139.47999999999999"/>
  </r>
  <r>
    <x v="162"/>
    <m/>
    <m/>
    <m/>
    <m/>
    <m/>
    <n v="332.67"/>
    <n v="-332.67"/>
  </r>
  <r>
    <x v="162"/>
    <m/>
    <m/>
    <m/>
    <m/>
    <m/>
    <n v="282.01"/>
    <n v="-282.01"/>
  </r>
  <r>
    <x v="162"/>
    <m/>
    <m/>
    <m/>
    <m/>
    <m/>
    <n v="46.06"/>
    <n v="-46.06"/>
  </r>
  <r>
    <x v="162"/>
    <m/>
    <m/>
    <m/>
    <m/>
    <m/>
    <n v="138.38"/>
    <n v="-138.38"/>
  </r>
  <r>
    <x v="162"/>
    <m/>
    <m/>
    <m/>
    <m/>
    <m/>
    <n v="296.7"/>
    <n v="-296.7"/>
  </r>
  <r>
    <x v="163"/>
    <m/>
    <m/>
    <m/>
    <m/>
    <m/>
    <n v="206.54"/>
    <n v="-206.54"/>
  </r>
  <r>
    <x v="164"/>
    <m/>
    <m/>
    <m/>
    <m/>
    <m/>
    <n v="11.65"/>
    <n v="-11.65"/>
  </r>
  <r>
    <x v="165"/>
    <m/>
    <m/>
    <m/>
    <m/>
    <m/>
    <n v="137.15"/>
    <n v="-137.15"/>
  </r>
  <r>
    <x v="165"/>
    <m/>
    <m/>
    <m/>
    <m/>
    <m/>
    <n v="300.63"/>
    <n v="-300.63"/>
  </r>
  <r>
    <x v="166"/>
    <m/>
    <m/>
    <m/>
    <m/>
    <m/>
    <n v="223.9"/>
    <n v="-223.9"/>
  </r>
  <r>
    <x v="166"/>
    <m/>
    <m/>
    <m/>
    <m/>
    <m/>
    <n v="1008.08"/>
    <n v="-1008.08"/>
  </r>
  <r>
    <x v="166"/>
    <m/>
    <m/>
    <m/>
    <m/>
    <m/>
    <n v="236.42"/>
    <n v="-236.42"/>
  </r>
  <r>
    <x v="167"/>
    <m/>
    <m/>
    <m/>
    <m/>
    <m/>
    <n v="126.12"/>
    <n v="-126.12"/>
  </r>
  <r>
    <x v="167"/>
    <m/>
    <m/>
    <m/>
    <m/>
    <m/>
    <n v="281.95999999999998"/>
    <n v="-281.95999999999998"/>
  </r>
  <r>
    <x v="168"/>
    <m/>
    <m/>
    <m/>
    <m/>
    <m/>
    <n v="17.95"/>
    <n v="-17.95"/>
  </r>
  <r>
    <x v="169"/>
    <m/>
    <m/>
    <m/>
    <m/>
    <m/>
    <n v="78.05"/>
    <n v="-78.05"/>
  </r>
  <r>
    <x v="169"/>
    <m/>
    <m/>
    <m/>
    <m/>
    <m/>
    <n v="391.17"/>
    <n v="-391.17"/>
  </r>
  <r>
    <x v="170"/>
    <m/>
    <m/>
    <m/>
    <m/>
    <m/>
    <n v="77.900000000000006"/>
    <n v="-77.900000000000006"/>
  </r>
  <r>
    <x v="171"/>
    <m/>
    <m/>
    <m/>
    <m/>
    <m/>
    <n v="101.61"/>
    <n v="-101.61"/>
  </r>
  <r>
    <x v="171"/>
    <m/>
    <m/>
    <m/>
    <m/>
    <m/>
    <n v="159.41999999999999"/>
    <n v="-159.41999999999999"/>
  </r>
  <r>
    <x v="172"/>
    <m/>
    <m/>
    <m/>
    <m/>
    <m/>
    <n v="187.26"/>
    <n v="-187.26"/>
  </r>
  <r>
    <x v="172"/>
    <m/>
    <m/>
    <m/>
    <m/>
    <m/>
    <n v="127.86"/>
    <n v="-127.86"/>
  </r>
  <r>
    <x v="173"/>
    <m/>
    <m/>
    <m/>
    <m/>
    <m/>
    <n v="189.9"/>
    <n v="-189.9"/>
  </r>
  <r>
    <x v="173"/>
    <m/>
    <m/>
    <m/>
    <m/>
    <m/>
    <n v="1172.76"/>
    <n v="-1172.76"/>
  </r>
  <r>
    <x v="173"/>
    <m/>
    <m/>
    <m/>
    <m/>
    <m/>
    <n v="274.8"/>
    <n v="-274.8"/>
  </r>
  <r>
    <x v="174"/>
    <m/>
    <m/>
    <m/>
    <m/>
    <m/>
    <n v="1010.6"/>
    <n v="-1010.6"/>
  </r>
  <r>
    <x v="175"/>
    <m/>
    <m/>
    <m/>
    <m/>
    <m/>
    <n v="360.84"/>
    <n v="-360.84"/>
  </r>
  <r>
    <x v="175"/>
    <m/>
    <m/>
    <m/>
    <m/>
    <m/>
    <n v="640.49"/>
    <n v="-640.49"/>
  </r>
  <r>
    <x v="175"/>
    <m/>
    <m/>
    <m/>
    <m/>
    <m/>
    <n v="381.12"/>
    <n v="-381.12"/>
  </r>
  <r>
    <x v="175"/>
    <m/>
    <m/>
    <m/>
    <m/>
    <m/>
    <n v="122.15"/>
    <n v="-122.15"/>
  </r>
  <r>
    <x v="175"/>
    <m/>
    <m/>
    <m/>
    <m/>
    <m/>
    <n v="534.27"/>
    <n v="-534.27"/>
  </r>
  <r>
    <x v="176"/>
    <m/>
    <m/>
    <m/>
    <m/>
    <m/>
    <n v="25.64"/>
    <n v="-25.64"/>
  </r>
  <r>
    <x v="177"/>
    <m/>
    <m/>
    <m/>
    <m/>
    <m/>
    <n v="35.03"/>
    <n v="-35.03"/>
  </r>
  <r>
    <x v="177"/>
    <m/>
    <m/>
    <m/>
    <m/>
    <m/>
    <n v="150.16"/>
    <n v="-150.16"/>
  </r>
  <r>
    <x v="177"/>
    <m/>
    <m/>
    <m/>
    <m/>
    <m/>
    <n v="901.51"/>
    <n v="-901.51"/>
  </r>
  <r>
    <x v="177"/>
    <m/>
    <m/>
    <m/>
    <m/>
    <m/>
    <n v="121.89"/>
    <n v="-121.89"/>
  </r>
  <r>
    <x v="178"/>
    <m/>
    <m/>
    <m/>
    <m/>
    <m/>
    <n v="38.9"/>
    <n v="-38.9"/>
  </r>
  <r>
    <x v="179"/>
    <m/>
    <m/>
    <m/>
    <m/>
    <m/>
    <n v="134.19999999999999"/>
    <n v="-134.19999999999999"/>
  </r>
  <r>
    <x v="179"/>
    <m/>
    <m/>
    <m/>
    <m/>
    <m/>
    <n v="121.26"/>
    <n v="-121.26"/>
  </r>
  <r>
    <x v="179"/>
    <m/>
    <m/>
    <m/>
    <m/>
    <m/>
    <n v="212.42"/>
    <n v="-212.42"/>
  </r>
  <r>
    <x v="179"/>
    <m/>
    <m/>
    <m/>
    <m/>
    <m/>
    <n v="552.29"/>
    <n v="-552.29"/>
  </r>
  <r>
    <x v="179"/>
    <m/>
    <m/>
    <m/>
    <m/>
    <m/>
    <n v="375.83"/>
    <n v="-375.83"/>
  </r>
  <r>
    <x v="180"/>
    <m/>
    <m/>
    <m/>
    <m/>
    <m/>
    <n v="137.71"/>
    <n v="-137.71"/>
  </r>
  <r>
    <x v="180"/>
    <m/>
    <m/>
    <m/>
    <m/>
    <m/>
    <n v="623.91"/>
    <n v="-623.91"/>
  </r>
  <r>
    <x v="181"/>
    <m/>
    <m/>
    <m/>
    <m/>
    <m/>
    <n v="831.07"/>
    <n v="-831.07"/>
  </r>
  <r>
    <x v="182"/>
    <m/>
    <m/>
    <m/>
    <m/>
    <m/>
    <n v="106.79"/>
    <n v="-106.79"/>
  </r>
  <r>
    <x v="182"/>
    <m/>
    <m/>
    <m/>
    <m/>
    <m/>
    <n v="132.08000000000001"/>
    <n v="-132.08000000000001"/>
  </r>
  <r>
    <x v="182"/>
    <m/>
    <m/>
    <m/>
    <m/>
    <m/>
    <n v="137.1"/>
    <n v="-137.1"/>
  </r>
  <r>
    <x v="183"/>
    <m/>
    <m/>
    <m/>
    <m/>
    <m/>
    <n v="192.6"/>
    <n v="-192.6"/>
  </r>
  <r>
    <x v="184"/>
    <m/>
    <m/>
    <m/>
    <m/>
    <m/>
    <n v="58.48"/>
    <n v="-58.48"/>
  </r>
  <r>
    <x v="184"/>
    <m/>
    <m/>
    <m/>
    <m/>
    <m/>
    <n v="13.1"/>
    <n v="-13.1"/>
  </r>
  <r>
    <x v="184"/>
    <m/>
    <m/>
    <m/>
    <m/>
    <m/>
    <n v="174.77"/>
    <n v="-174.77"/>
  </r>
  <r>
    <x v="184"/>
    <m/>
    <m/>
    <m/>
    <m/>
    <m/>
    <n v="213.3"/>
    <n v="-213.3"/>
  </r>
  <r>
    <x v="185"/>
    <m/>
    <m/>
    <m/>
    <m/>
    <m/>
    <n v="34.049999999999997"/>
    <n v="-34.049999999999997"/>
  </r>
  <r>
    <x v="186"/>
    <m/>
    <m/>
    <m/>
    <m/>
    <m/>
    <n v="367.44"/>
    <n v="-367.44"/>
  </r>
  <r>
    <x v="187"/>
    <m/>
    <m/>
    <m/>
    <m/>
    <m/>
    <n v="21.87"/>
    <n v="-21.87"/>
  </r>
  <r>
    <x v="188"/>
    <m/>
    <m/>
    <m/>
    <m/>
    <m/>
    <n v="81.75"/>
    <n v="-81.75"/>
  </r>
  <r>
    <x v="188"/>
    <m/>
    <m/>
    <m/>
    <m/>
    <m/>
    <n v="109.8"/>
    <n v="-109.8"/>
  </r>
  <r>
    <x v="188"/>
    <m/>
    <m/>
    <m/>
    <m/>
    <m/>
    <n v="87.14"/>
    <n v="-87.14"/>
  </r>
  <r>
    <x v="189"/>
    <m/>
    <m/>
    <m/>
    <m/>
    <m/>
    <n v="261.5"/>
    <n v="-261.5"/>
  </r>
  <r>
    <x v="190"/>
    <m/>
    <m/>
    <m/>
    <m/>
    <m/>
    <n v="177.83"/>
    <n v="-177.83"/>
  </r>
  <r>
    <x v="191"/>
    <m/>
    <m/>
    <m/>
    <m/>
    <m/>
    <n v="2603.8200000000002"/>
    <n v="-2603.8200000000002"/>
  </r>
  <r>
    <x v="192"/>
    <m/>
    <m/>
    <m/>
    <m/>
    <m/>
    <n v="364.52"/>
    <n v="-364.52"/>
  </r>
  <r>
    <x v="193"/>
    <m/>
    <m/>
    <m/>
    <m/>
    <m/>
    <n v="228.8"/>
    <n v="-228.8"/>
  </r>
  <r>
    <x v="194"/>
    <m/>
    <m/>
    <m/>
    <m/>
    <m/>
    <n v="18.850000000000001"/>
    <n v="-18.850000000000001"/>
  </r>
  <r>
    <x v="195"/>
    <m/>
    <m/>
    <m/>
    <m/>
    <m/>
    <n v="571.58000000000004"/>
    <n v="-571.580000000000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x v="0"/>
    <n v="15"/>
  </r>
  <r>
    <x v="1"/>
    <n v="121"/>
  </r>
  <r>
    <x v="2"/>
    <n v="117"/>
  </r>
  <r>
    <x v="3"/>
    <n v="13"/>
  </r>
  <r>
    <x v="4"/>
    <n v="44"/>
  </r>
  <r>
    <x v="5"/>
    <n v="37"/>
  </r>
  <r>
    <x v="6"/>
    <n v="89"/>
  </r>
  <r>
    <x v="7"/>
    <n v="304"/>
  </r>
  <r>
    <x v="8"/>
    <n v="398"/>
  </r>
  <r>
    <x v="2"/>
    <n v="96"/>
  </r>
  <r>
    <x v="7"/>
    <n v="46"/>
  </r>
  <r>
    <x v="8"/>
    <n v="83"/>
  </r>
  <r>
    <x v="8"/>
    <n v="80"/>
  </r>
  <r>
    <x v="1"/>
    <n v="66"/>
  </r>
  <r>
    <x v="2"/>
    <n v="39"/>
  </r>
  <r>
    <x v="7"/>
    <n v="59"/>
  </r>
  <r>
    <x v="1"/>
    <n v="49"/>
  </r>
  <r>
    <x v="6"/>
    <n v="51"/>
  </r>
  <r>
    <x v="5"/>
    <n v="26"/>
  </r>
  <r>
    <x v="9"/>
    <n v="84"/>
  </r>
  <r>
    <x v="1"/>
    <n v="181"/>
  </r>
  <r>
    <x v="7"/>
    <n v="110"/>
  </r>
  <r>
    <x v="10"/>
    <n v="72"/>
  </r>
  <r>
    <x v="0"/>
    <n v="66"/>
  </r>
  <r>
    <x v="11"/>
    <n v="70"/>
  </r>
  <r>
    <x v="11"/>
    <n v="33"/>
  </r>
  <r>
    <x v="12"/>
    <n v="119"/>
  </r>
  <r>
    <x v="13"/>
    <n v="121"/>
  </r>
  <r>
    <x v="12"/>
    <n v="12"/>
  </r>
  <r>
    <x v="14"/>
    <n v="144"/>
  </r>
  <r>
    <x v="15"/>
    <n v="174"/>
  </r>
  <r>
    <x v="13"/>
    <n v="360"/>
  </r>
  <r>
    <x v="16"/>
    <n v="88"/>
  </r>
  <r>
    <x v="17"/>
    <n v="25"/>
  </r>
  <r>
    <x v="18"/>
    <n v="20"/>
  </r>
  <r>
    <x v="17"/>
    <n v="3"/>
  </r>
  <r>
    <x v="18"/>
    <n v="25"/>
  </r>
  <r>
    <x v="17"/>
    <n v="15"/>
  </r>
  <r>
    <x v="18"/>
    <n v="32"/>
  </r>
  <r>
    <x v="19"/>
    <n v="7"/>
  </r>
  <r>
    <x v="20"/>
    <n v="81"/>
  </r>
  <r>
    <x v="21"/>
    <n v="21"/>
  </r>
  <r>
    <x v="22"/>
    <n v="77"/>
  </r>
  <r>
    <x v="23"/>
    <n v="23"/>
  </r>
  <r>
    <x v="24"/>
    <n v="98"/>
  </r>
  <r>
    <x v="25"/>
    <n v="44"/>
  </r>
  <r>
    <x v="26"/>
    <n v="18"/>
  </r>
  <r>
    <x v="27"/>
    <n v="59"/>
  </r>
  <r>
    <x v="28"/>
    <n v="163"/>
  </r>
  <r>
    <x v="28"/>
    <n v="131"/>
  </r>
  <r>
    <x v="27"/>
    <n v="62"/>
  </r>
  <r>
    <x v="28"/>
    <n v="140"/>
  </r>
  <r>
    <x v="28"/>
    <n v="65"/>
  </r>
  <r>
    <x v="29"/>
    <n v="525"/>
  </r>
  <r>
    <x v="30"/>
    <n v="271"/>
  </r>
  <r>
    <x v="31"/>
    <n v="168"/>
  </r>
  <r>
    <x v="32"/>
    <n v="191"/>
  </r>
  <r>
    <x v="30"/>
    <n v="23"/>
  </r>
  <r>
    <x v="31"/>
    <n v="34"/>
  </r>
  <r>
    <x v="27"/>
    <n v="65"/>
  </r>
  <r>
    <x v="30"/>
    <n v="50"/>
  </r>
  <r>
    <x v="31"/>
    <n v="16"/>
  </r>
  <r>
    <x v="33"/>
    <n v="74"/>
  </r>
  <r>
    <x v="34"/>
    <n v="57"/>
  </r>
  <r>
    <x v="35"/>
    <n v="70"/>
  </r>
  <r>
    <x v="36"/>
    <n v="93"/>
  </r>
  <r>
    <x v="37"/>
    <n v="160"/>
  </r>
  <r>
    <x v="38"/>
    <n v="43"/>
  </r>
  <r>
    <x v="39"/>
    <n v="12"/>
  </r>
  <r>
    <x v="40"/>
    <n v="109"/>
  </r>
  <r>
    <x v="39"/>
    <n v="199"/>
  </r>
  <r>
    <x v="36"/>
    <n v="224"/>
  </r>
  <r>
    <x v="37"/>
    <n v="139"/>
  </r>
  <r>
    <x v="41"/>
    <n v="135"/>
  </r>
  <r>
    <x v="38"/>
    <n v="77"/>
  </r>
  <r>
    <x v="35"/>
    <n v="13"/>
  </r>
  <r>
    <x v="36"/>
    <n v="6"/>
  </r>
  <r>
    <x v="37"/>
    <n v="9"/>
  </r>
  <r>
    <x v="39"/>
    <n v="4"/>
  </r>
  <r>
    <x v="42"/>
    <n v="49"/>
  </r>
  <r>
    <x v="38"/>
    <n v="27"/>
  </r>
  <r>
    <x v="35"/>
    <n v="265"/>
  </r>
  <r>
    <x v="39"/>
    <n v="59"/>
  </r>
  <r>
    <x v="42"/>
    <n v="77"/>
  </r>
  <r>
    <x v="41"/>
    <n v="49"/>
  </r>
  <r>
    <x v="43"/>
    <n v="18"/>
  </r>
  <r>
    <x v="44"/>
    <n v="5"/>
  </r>
  <r>
    <x v="45"/>
    <n v="34"/>
  </r>
  <r>
    <x v="46"/>
    <n v="18"/>
  </r>
  <r>
    <x v="44"/>
    <n v="7"/>
  </r>
  <r>
    <x v="47"/>
    <n v="23"/>
  </r>
  <r>
    <x v="43"/>
    <n v="89"/>
  </r>
  <r>
    <x v="44"/>
    <n v="27"/>
  </r>
  <r>
    <x v="43"/>
    <n v="14"/>
  </r>
  <r>
    <x v="48"/>
    <n v="243"/>
  </r>
  <r>
    <x v="49"/>
    <n v="92"/>
  </r>
  <r>
    <x v="45"/>
    <n v="163"/>
  </r>
  <r>
    <x v="49"/>
    <n v="320"/>
  </r>
  <r>
    <x v="48"/>
    <n v="127"/>
  </r>
  <r>
    <x v="50"/>
    <n v="77"/>
  </r>
  <r>
    <x v="51"/>
    <n v="667"/>
  </r>
  <r>
    <x v="52"/>
    <n v="510"/>
  </r>
  <r>
    <x v="53"/>
    <n v="1316"/>
  </r>
  <r>
    <x v="52"/>
    <n v="1131"/>
  </r>
  <r>
    <x v="54"/>
    <n v="468"/>
  </r>
  <r>
    <x v="55"/>
    <n v="118"/>
  </r>
  <r>
    <x v="56"/>
    <n v="20"/>
  </r>
  <r>
    <x v="57"/>
    <n v="30"/>
  </r>
  <r>
    <x v="58"/>
    <n v="127"/>
  </r>
  <r>
    <x v="54"/>
    <n v="119"/>
  </r>
  <r>
    <x v="59"/>
    <n v="21"/>
  </r>
  <r>
    <x v="60"/>
    <n v="52"/>
  </r>
  <r>
    <x v="61"/>
    <n v="9"/>
  </r>
  <r>
    <x v="62"/>
    <n v="29"/>
  </r>
  <r>
    <x v="60"/>
    <n v="153"/>
  </r>
  <r>
    <x v="63"/>
    <n v="88"/>
  </r>
  <r>
    <x v="55"/>
    <n v="27"/>
  </r>
  <r>
    <x v="55"/>
    <n v="226"/>
  </r>
  <r>
    <x v="64"/>
    <n v="90"/>
  </r>
  <r>
    <x v="65"/>
    <n v="436"/>
  </r>
  <r>
    <x v="9"/>
    <n v="17"/>
  </r>
  <r>
    <x v="43"/>
    <n v="93"/>
  </r>
  <r>
    <x v="55"/>
    <n v="28"/>
  </r>
  <r>
    <x v="59"/>
    <n v="103"/>
  </r>
  <r>
    <x v="66"/>
    <n v="43"/>
  </r>
  <r>
    <x v="41"/>
    <n v="89"/>
  </r>
  <r>
    <x v="67"/>
    <n v="324"/>
  </r>
  <r>
    <x v="68"/>
    <n v="373"/>
  </r>
  <r>
    <x v="69"/>
    <n v="92"/>
  </r>
  <r>
    <x v="62"/>
    <n v="19"/>
  </r>
  <r>
    <x v="69"/>
    <n v="47"/>
  </r>
  <r>
    <x v="69"/>
    <n v="37"/>
  </r>
  <r>
    <x v="43"/>
    <n v="35"/>
  </r>
  <r>
    <x v="43"/>
    <n v="248"/>
  </r>
  <r>
    <x v="9"/>
    <n v="259"/>
  </r>
  <r>
    <x v="9"/>
    <n v="229"/>
  </r>
  <r>
    <x v="70"/>
    <n v="28"/>
  </r>
  <r>
    <x v="60"/>
    <n v="30"/>
  </r>
  <r>
    <x v="68"/>
    <n v="94"/>
  </r>
  <r>
    <x v="28"/>
    <n v="28"/>
  </r>
  <r>
    <x v="71"/>
    <n v="158"/>
  </r>
  <r>
    <x v="68"/>
    <n v="83"/>
  </r>
  <r>
    <x v="9"/>
    <n v="252"/>
  </r>
  <r>
    <x v="41"/>
    <n v="53"/>
  </r>
  <r>
    <x v="41"/>
    <n v="72"/>
  </r>
  <r>
    <x v="72"/>
    <n v="6"/>
  </r>
  <r>
    <x v="72"/>
    <n v="3"/>
  </r>
  <r>
    <x v="73"/>
    <n v="286"/>
  </r>
  <r>
    <x v="74"/>
    <n v="78"/>
  </r>
  <r>
    <x v="75"/>
    <n v="57"/>
  </r>
  <r>
    <x v="73"/>
    <n v="16"/>
  </r>
  <r>
    <x v="73"/>
    <n v="238"/>
  </r>
  <r>
    <x v="76"/>
    <n v="231"/>
  </r>
  <r>
    <x v="77"/>
    <n v="37"/>
  </r>
  <r>
    <x v="52"/>
    <n v="24"/>
  </r>
  <r>
    <x v="78"/>
    <n v="118"/>
  </r>
  <r>
    <x v="79"/>
    <n v="41"/>
  </r>
  <r>
    <x v="80"/>
    <n v="29"/>
  </r>
  <r>
    <x v="81"/>
    <n v="247"/>
  </r>
  <r>
    <x v="82"/>
    <n v="78"/>
  </r>
  <r>
    <x v="74"/>
    <n v="102"/>
  </r>
  <r>
    <x v="83"/>
    <n v="18"/>
  </r>
  <r>
    <x v="52"/>
    <n v="248"/>
  </r>
  <r>
    <x v="84"/>
    <n v="112"/>
  </r>
  <r>
    <x v="41"/>
    <n v="218"/>
  </r>
  <r>
    <x v="81"/>
    <n v="70"/>
  </r>
  <r>
    <x v="81"/>
    <n v="7"/>
  </r>
  <r>
    <x v="68"/>
    <n v="267"/>
  </r>
  <r>
    <x v="85"/>
    <n v="72"/>
  </r>
  <r>
    <x v="86"/>
    <n v="5"/>
  </r>
  <r>
    <x v="28"/>
    <n v="112"/>
  </r>
  <r>
    <x v="87"/>
    <n v="3"/>
  </r>
  <r>
    <x v="69"/>
    <n v="5"/>
  </r>
  <r>
    <x v="88"/>
    <n v="207.77"/>
  </r>
  <r>
    <x v="89"/>
    <n v="71.41"/>
  </r>
  <r>
    <x v="90"/>
    <n v="294.14999999999998"/>
  </r>
  <r>
    <x v="91"/>
    <n v="29.14"/>
  </r>
  <r>
    <x v="90"/>
    <n v="980.76"/>
  </r>
  <r>
    <x v="90"/>
    <n v="119.02"/>
  </r>
  <r>
    <x v="92"/>
    <n v="1664.8"/>
  </r>
  <r>
    <x v="93"/>
    <n v="415.28"/>
  </r>
  <r>
    <x v="94"/>
    <n v="705.48"/>
  </r>
  <r>
    <x v="88"/>
    <n v="106.45"/>
  </r>
  <r>
    <x v="93"/>
    <n v="871.93"/>
  </r>
  <r>
    <x v="88"/>
    <n v="677.49"/>
  </r>
  <r>
    <x v="90"/>
    <n v="1711.61"/>
  </r>
  <r>
    <x v="95"/>
    <n v="840.33"/>
  </r>
  <r>
    <x v="96"/>
    <n v="375.83"/>
  </r>
  <r>
    <x v="97"/>
    <n v="115.72"/>
  </r>
  <r>
    <x v="88"/>
    <n v="52.26"/>
  </r>
  <r>
    <x v="90"/>
    <n v="129.58000000000001"/>
  </r>
  <r>
    <x v="92"/>
    <n v="181.23"/>
  </r>
  <r>
    <x v="95"/>
    <n v="19.149999999999999"/>
  </r>
  <r>
    <x v="98"/>
    <n v="24.36"/>
  </r>
  <r>
    <x v="94"/>
    <n v="17.78"/>
  </r>
  <r>
    <x v="99"/>
    <n v="563.96"/>
  </r>
  <r>
    <x v="100"/>
    <n v="884.23"/>
  </r>
  <r>
    <x v="101"/>
    <n v="446.05"/>
  </r>
  <r>
    <x v="101"/>
    <n v="137.1"/>
  </r>
  <r>
    <x v="102"/>
    <n v="561.37"/>
  </r>
  <r>
    <x v="103"/>
    <n v="467.98"/>
  </r>
  <r>
    <x v="104"/>
    <n v="532.97"/>
  </r>
  <r>
    <x v="105"/>
    <n v="282.3"/>
  </r>
  <r>
    <x v="106"/>
    <n v="1538.29"/>
  </r>
  <r>
    <x v="107"/>
    <n v="92.79"/>
  </r>
  <r>
    <x v="108"/>
    <n v="40"/>
  </r>
  <r>
    <x v="109"/>
    <n v="92.52"/>
  </r>
  <r>
    <x v="110"/>
    <n v="26.65"/>
  </r>
  <r>
    <x v="111"/>
    <n v="316.14"/>
  </r>
  <r>
    <x v="112"/>
    <n v="373"/>
  </r>
  <r>
    <x v="113"/>
    <n v="451.09"/>
  </r>
  <r>
    <x v="114"/>
    <n v="103.93"/>
  </r>
  <r>
    <x v="115"/>
    <n v="560.41"/>
  </r>
  <r>
    <x v="113"/>
    <n v="407.21"/>
  </r>
  <r>
    <x v="116"/>
    <n v="330.1"/>
  </r>
  <r>
    <x v="117"/>
    <n v="239.04"/>
  </r>
  <r>
    <x v="114"/>
    <n v="243.6"/>
  </r>
  <r>
    <x v="117"/>
    <n v="162.22999999999999"/>
  </r>
  <r>
    <x v="118"/>
    <n v="64.400000000000006"/>
  </r>
  <r>
    <x v="116"/>
    <n v="175.19"/>
  </r>
  <r>
    <x v="119"/>
    <n v="67.209999999999994"/>
  </r>
  <r>
    <x v="117"/>
    <n v="290.45999999999998"/>
  </r>
  <r>
    <x v="120"/>
    <n v="803.04"/>
  </r>
  <r>
    <x v="121"/>
    <n v="296.7"/>
  </r>
  <r>
    <x v="122"/>
    <n v="77.77"/>
  </r>
  <r>
    <x v="122"/>
    <n v="158.65"/>
  </r>
  <r>
    <x v="123"/>
    <n v="234.23"/>
  </r>
  <r>
    <x v="121"/>
    <n v="139.47999999999999"/>
  </r>
  <r>
    <x v="124"/>
    <n v="149.59"/>
  </r>
  <r>
    <x v="122"/>
    <n v="138.16"/>
  </r>
  <r>
    <x v="125"/>
    <n v="41.04"/>
  </r>
  <r>
    <x v="126"/>
    <n v="142.13"/>
  </r>
  <r>
    <x v="112"/>
    <n v="281.95999999999998"/>
  </r>
  <r>
    <x v="120"/>
    <n v="217.24"/>
  </r>
  <r>
    <x v="127"/>
    <n v="439.92"/>
  </r>
  <r>
    <x v="128"/>
    <n v="468.96"/>
  </r>
  <r>
    <x v="129"/>
    <n v="401.11"/>
  </r>
  <r>
    <x v="130"/>
    <n v="721.19"/>
  </r>
  <r>
    <x v="131"/>
    <n v="502.97"/>
  </r>
  <r>
    <x v="127"/>
    <n v="428.98"/>
  </r>
  <r>
    <x v="132"/>
    <n v="355.94"/>
  </r>
  <r>
    <x v="133"/>
    <n v="41.68"/>
  </r>
  <r>
    <x v="134"/>
    <n v="320.26"/>
  </r>
  <r>
    <x v="135"/>
    <n v="385.16"/>
  </r>
  <r>
    <x v="136"/>
    <n v="597.6"/>
  </r>
  <r>
    <x v="137"/>
    <n v="61.65"/>
  </r>
  <r>
    <x v="138"/>
    <n v="1155.45"/>
  </r>
  <r>
    <x v="139"/>
    <n v="550.04"/>
  </r>
  <r>
    <x v="138"/>
    <n v="74.14"/>
  </r>
  <r>
    <x v="136"/>
    <n v="293.41000000000003"/>
  </r>
  <r>
    <x v="140"/>
    <n v="203.87"/>
  </r>
  <r>
    <x v="141"/>
    <n v="243.77"/>
  </r>
  <r>
    <x v="122"/>
    <n v="51"/>
  </r>
  <r>
    <x v="104"/>
    <n v="111.9"/>
  </r>
  <r>
    <x v="102"/>
    <n v="76.040000000000006"/>
  </r>
  <r>
    <x v="142"/>
    <n v="96.55"/>
  </r>
  <r>
    <x v="101"/>
    <n v="302.08999999999997"/>
  </r>
  <r>
    <x v="99"/>
    <n v="234.7"/>
  </r>
  <r>
    <x v="100"/>
    <n v="286.02999999999997"/>
  </r>
  <r>
    <x v="117"/>
    <n v="115.6"/>
  </r>
  <r>
    <x v="143"/>
    <n v="200"/>
  </r>
  <r>
    <x v="115"/>
    <n v="181.89"/>
  </r>
  <r>
    <x v="92"/>
    <n v="383.96"/>
  </r>
  <r>
    <x v="95"/>
    <n v="200"/>
  </r>
  <r>
    <x v="90"/>
    <n v="200"/>
  </r>
  <r>
    <x v="95"/>
    <n v="210.4"/>
  </r>
  <r>
    <x v="93"/>
    <n v="130.69999999999999"/>
  </r>
  <r>
    <x v="144"/>
    <n v="183.37"/>
  </r>
  <r>
    <x v="145"/>
    <n v="793.96"/>
  </r>
  <r>
    <x v="125"/>
    <n v="41.66"/>
  </r>
  <r>
    <x v="144"/>
    <n v="839.74"/>
  </r>
  <r>
    <x v="146"/>
    <n v="61.2"/>
  </r>
  <r>
    <x v="146"/>
    <n v="25.6"/>
  </r>
  <r>
    <x v="132"/>
    <n v="24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">
  <r>
    <x v="0"/>
    <n v="1913"/>
  </r>
  <r>
    <x v="1"/>
    <n v="78"/>
  </r>
  <r>
    <x v="2"/>
    <n v="231"/>
  </r>
  <r>
    <x v="3"/>
    <n v="41"/>
  </r>
  <r>
    <x v="4"/>
    <n v="90"/>
  </r>
  <r>
    <x v="5"/>
    <n v="43"/>
  </r>
  <r>
    <x v="6"/>
    <n v="48"/>
  </r>
  <r>
    <x v="7"/>
    <n v="324"/>
  </r>
  <r>
    <x v="8"/>
    <n v="587"/>
  </r>
  <r>
    <x v="9"/>
    <n v="235"/>
  </r>
  <r>
    <x v="10"/>
    <n v="72"/>
  </r>
  <r>
    <x v="11"/>
    <n v="5"/>
  </r>
  <r>
    <x v="12"/>
    <n v="324"/>
  </r>
  <r>
    <x v="13"/>
    <n v="1316"/>
  </r>
  <r>
    <x v="14"/>
    <n v="29"/>
  </r>
  <r>
    <x v="15"/>
    <n v="667"/>
  </r>
  <r>
    <x v="16"/>
    <n v="540"/>
  </r>
  <r>
    <x v="17"/>
    <n v="37"/>
  </r>
  <r>
    <x v="18"/>
    <n v="18"/>
  </r>
  <r>
    <x v="19"/>
    <n v="127"/>
  </r>
  <r>
    <x v="20"/>
    <n v="399"/>
  </r>
  <r>
    <x v="21"/>
    <n v="20"/>
  </r>
  <r>
    <x v="22"/>
    <n v="616"/>
  </r>
  <r>
    <x v="23"/>
    <n v="109"/>
  </r>
  <r>
    <x v="24"/>
    <n v="348"/>
  </r>
  <r>
    <x v="25"/>
    <n v="147"/>
  </r>
  <r>
    <x v="26"/>
    <n v="274"/>
  </r>
  <r>
    <x v="27"/>
    <n v="126"/>
  </r>
  <r>
    <x v="28"/>
    <n v="308"/>
  </r>
  <r>
    <x v="29"/>
    <n v="323"/>
  </r>
  <r>
    <x v="30"/>
    <n v="7"/>
  </r>
  <r>
    <x v="31"/>
    <n v="21"/>
  </r>
  <r>
    <x v="32"/>
    <n v="81"/>
  </r>
  <r>
    <x v="33"/>
    <n v="77"/>
  </r>
  <r>
    <x v="34"/>
    <n v="124"/>
  </r>
  <r>
    <x v="35"/>
    <n v="3"/>
  </r>
  <r>
    <x v="36"/>
    <n v="88"/>
  </r>
  <r>
    <x v="37"/>
    <n v="43"/>
  </r>
  <r>
    <x v="38"/>
    <n v="77"/>
  </r>
  <r>
    <x v="39"/>
    <n v="118"/>
  </r>
  <r>
    <x v="40"/>
    <n v="158"/>
  </r>
  <r>
    <x v="41"/>
    <n v="144"/>
  </r>
  <r>
    <x v="42"/>
    <n v="481"/>
  </r>
  <r>
    <x v="43"/>
    <n v="131"/>
  </r>
  <r>
    <x v="44"/>
    <n v="174"/>
  </r>
  <r>
    <x v="45"/>
    <n v="9"/>
  </r>
  <r>
    <x v="46"/>
    <n v="181"/>
  </r>
  <r>
    <x v="47"/>
    <n v="436"/>
  </r>
  <r>
    <x v="48"/>
    <n v="639"/>
  </r>
  <r>
    <x v="49"/>
    <n v="74"/>
  </r>
  <r>
    <x v="50"/>
    <n v="186"/>
  </r>
  <r>
    <x v="51"/>
    <n v="344"/>
  </r>
  <r>
    <x v="52"/>
    <n v="525"/>
  </r>
  <r>
    <x v="53"/>
    <n v="218"/>
  </r>
  <r>
    <x v="54"/>
    <n v="98"/>
  </r>
  <r>
    <x v="55"/>
    <n v="23"/>
  </r>
  <r>
    <x v="56"/>
    <n v="57"/>
  </r>
  <r>
    <x v="57"/>
    <n v="191"/>
  </r>
  <r>
    <x v="58"/>
    <n v="30"/>
  </r>
  <r>
    <x v="59"/>
    <n v="841"/>
  </r>
  <r>
    <x v="60"/>
    <n v="13"/>
  </r>
  <r>
    <x v="61"/>
    <n v="63"/>
  </r>
  <r>
    <x v="62"/>
    <n v="81"/>
  </r>
  <r>
    <x v="63"/>
    <n v="252"/>
  </r>
  <r>
    <x v="64"/>
    <n v="519"/>
  </r>
  <r>
    <x v="65"/>
    <n v="561"/>
  </r>
  <r>
    <x v="66"/>
    <n v="72"/>
  </r>
  <r>
    <x v="67"/>
    <n v="103"/>
  </r>
  <r>
    <x v="68"/>
    <n v="44"/>
  </r>
  <r>
    <x v="69"/>
    <n v="417"/>
  </r>
  <r>
    <x v="70"/>
    <n v="140"/>
  </r>
  <r>
    <x v="71"/>
    <n v="28"/>
  </r>
  <r>
    <x v="72"/>
    <n v="44"/>
  </r>
  <r>
    <x v="73"/>
    <n v="18"/>
  </r>
  <r>
    <x v="74"/>
    <n v="88"/>
  </r>
  <r>
    <x v="75"/>
    <n v="497"/>
  </r>
  <r>
    <x v="76"/>
    <n v="23"/>
  </r>
  <r>
    <x v="77"/>
    <n v="197"/>
  </r>
  <r>
    <x v="78"/>
    <n v="412"/>
  </r>
  <r>
    <x v="79"/>
    <n v="77"/>
  </r>
  <r>
    <x v="80"/>
    <n v="18"/>
  </r>
  <r>
    <x v="81"/>
    <n v="39"/>
  </r>
  <r>
    <x v="82"/>
    <n v="370"/>
  </r>
  <r>
    <x v="83"/>
    <n v="502.97"/>
  </r>
  <r>
    <x v="84"/>
    <n v="320.26"/>
  </r>
  <r>
    <x v="85"/>
    <n v="401.11"/>
  </r>
  <r>
    <x v="86"/>
    <n v="595.94000000000005"/>
  </r>
  <r>
    <x v="87"/>
    <n v="868.90000000000009"/>
  </r>
  <r>
    <x v="88"/>
    <n v="468.96"/>
  </r>
  <r>
    <x v="89"/>
    <n v="41.68"/>
  </r>
  <r>
    <x v="90"/>
    <n v="721.19"/>
  </r>
  <r>
    <x v="91"/>
    <n v="243.77"/>
  </r>
  <r>
    <x v="92"/>
    <n v="203.87"/>
  </r>
  <r>
    <x v="93"/>
    <n v="385.16"/>
  </r>
  <r>
    <x v="94"/>
    <n v="550.04"/>
  </r>
  <r>
    <x v="95"/>
    <n v="1229.5900000000001"/>
  </r>
  <r>
    <x v="96"/>
    <n v="891.01"/>
  </r>
  <r>
    <x v="97"/>
    <n v="61.65"/>
  </r>
  <r>
    <x v="98"/>
    <n v="92.52"/>
  </r>
  <r>
    <x v="99"/>
    <n v="316.14"/>
  </r>
  <r>
    <x v="100"/>
    <n v="86.800000000000011"/>
  </r>
  <r>
    <x v="101"/>
    <n v="92.79"/>
  </r>
  <r>
    <x v="102"/>
    <n v="40"/>
  </r>
  <r>
    <x v="103"/>
    <n v="26.65"/>
  </r>
  <r>
    <x v="104"/>
    <n v="64.400000000000006"/>
  </r>
  <r>
    <x v="105"/>
    <n v="67.209999999999994"/>
  </r>
  <r>
    <x v="106"/>
    <n v="858.3"/>
  </r>
  <r>
    <x v="107"/>
    <n v="807.33"/>
  </r>
  <r>
    <x v="108"/>
    <n v="200"/>
  </r>
  <r>
    <x v="109"/>
    <n v="505.29"/>
  </r>
  <r>
    <x v="110"/>
    <n v="347.53"/>
  </r>
  <r>
    <x v="111"/>
    <n v="742.3"/>
  </r>
  <r>
    <x v="112"/>
    <n v="1538.29"/>
  </r>
  <r>
    <x v="113"/>
    <n v="1020.28"/>
  </r>
  <r>
    <x v="114"/>
    <n v="234.23"/>
  </r>
  <r>
    <x v="115"/>
    <n v="436.17999999999995"/>
  </r>
  <r>
    <x v="116"/>
    <n v="1023.11"/>
  </r>
  <r>
    <x v="117"/>
    <n v="793.96"/>
  </r>
  <r>
    <x v="118"/>
    <n v="142.13"/>
  </r>
  <r>
    <x v="119"/>
    <n v="82.699999999999989"/>
  </r>
  <r>
    <x v="120"/>
    <n v="425.58000000000004"/>
  </r>
  <r>
    <x v="121"/>
    <n v="149.59"/>
  </r>
  <r>
    <x v="122"/>
    <n v="654.96"/>
  </r>
  <r>
    <x v="123"/>
    <n v="375.83"/>
  </r>
  <r>
    <x v="124"/>
    <n v="115.72"/>
  </r>
  <r>
    <x v="125"/>
    <n v="1043.97"/>
  </r>
  <r>
    <x v="126"/>
    <n v="3435.12"/>
  </r>
  <r>
    <x v="127"/>
    <n v="2229.9899999999998"/>
  </r>
  <r>
    <x v="128"/>
    <n v="1417.91"/>
  </r>
  <r>
    <x v="129"/>
    <n v="71.41"/>
  </r>
  <r>
    <x v="130"/>
    <n v="29.14"/>
  </r>
  <r>
    <x v="131"/>
    <n v="723.26"/>
  </r>
  <r>
    <x v="132"/>
    <n v="1269.8800000000001"/>
  </r>
  <r>
    <x v="133"/>
    <n v="24.36"/>
  </r>
  <r>
    <x v="134"/>
    <n v="885.24"/>
  </r>
  <r>
    <x v="135"/>
    <n v="798.66000000000008"/>
  </r>
  <r>
    <x v="136"/>
    <n v="637.41"/>
  </r>
  <r>
    <x v="137"/>
    <n v="96.55"/>
  </r>
  <r>
    <x v="138"/>
    <n v="282.3"/>
  </r>
  <r>
    <x v="139"/>
    <n v="644.87"/>
  </r>
  <r>
    <x v="140"/>
    <n v="1170.26"/>
  </r>
  <r>
    <x v="141"/>
    <n v="467.98"/>
  </r>
  <r>
    <x v="142"/>
    <n v="9"/>
  </r>
  <r>
    <x v="143"/>
    <n v="57"/>
  </r>
  <r>
    <x v="144"/>
    <n v="180"/>
  </r>
  <r>
    <x v="145"/>
    <n v="112"/>
  </r>
  <r>
    <x v="146"/>
    <n v="817"/>
  </r>
  <r>
    <x v="147"/>
    <n v="-1347"/>
  </r>
  <r>
    <x v="8"/>
    <n v="-410"/>
  </r>
  <r>
    <x v="148"/>
    <n v="-44"/>
  </r>
  <r>
    <x v="149"/>
    <n v="-1075"/>
  </r>
  <r>
    <x v="150"/>
    <n v="-8"/>
  </r>
  <r>
    <x v="151"/>
    <n v="-240"/>
  </r>
  <r>
    <x v="152"/>
    <n v="-2"/>
  </r>
  <r>
    <x v="153"/>
    <n v="-1"/>
  </r>
  <r>
    <x v="154"/>
    <n v="-1"/>
  </r>
  <r>
    <x v="155"/>
    <n v="-8"/>
  </r>
  <r>
    <x v="156"/>
    <n v="-8"/>
  </r>
  <r>
    <x v="157"/>
    <n v="-8"/>
  </r>
  <r>
    <x v="158"/>
    <n v="-8"/>
  </r>
  <r>
    <x v="159"/>
    <n v="-8"/>
  </r>
  <r>
    <x v="160"/>
    <n v="-8"/>
  </r>
  <r>
    <x v="161"/>
    <n v="-8"/>
  </r>
  <r>
    <x v="162"/>
    <n v="-8"/>
  </r>
  <r>
    <x v="163"/>
    <n v="-8"/>
  </r>
  <r>
    <x v="164"/>
    <n v="-8"/>
  </r>
  <r>
    <x v="165"/>
    <n v="-8"/>
  </r>
  <r>
    <x v="166"/>
    <n v="-8"/>
  </r>
  <r>
    <x v="167"/>
    <n v="-200"/>
  </r>
  <r>
    <x v="168"/>
    <n v="-1"/>
  </r>
  <r>
    <x v="169"/>
    <n v="-3"/>
  </r>
  <r>
    <x v="170"/>
    <n v="-1"/>
  </r>
  <r>
    <x v="171"/>
    <n v="-5"/>
  </r>
  <r>
    <x v="172"/>
    <n v="-80"/>
  </r>
  <r>
    <x v="173"/>
    <n v="-27"/>
  </r>
  <r>
    <x v="174"/>
    <n v="-1018"/>
  </r>
  <r>
    <x v="175"/>
    <n v="-54"/>
  </r>
  <r>
    <x v="176"/>
    <n v="-107"/>
  </r>
  <r>
    <x v="177"/>
    <n v="-1"/>
  </r>
  <r>
    <x v="178"/>
    <n v="-102"/>
  </r>
  <r>
    <x v="179"/>
    <n v="-978"/>
  </r>
  <r>
    <x v="180"/>
    <n v="-68"/>
  </r>
  <r>
    <x v="181"/>
    <n v="-2"/>
  </r>
  <r>
    <x v="182"/>
    <n v="-7"/>
  </r>
  <r>
    <x v="183"/>
    <n v="-55"/>
  </r>
  <r>
    <x v="184"/>
    <n v="-12"/>
  </r>
  <r>
    <x v="185"/>
    <n v="-122"/>
  </r>
  <r>
    <x v="186"/>
    <n v="-141"/>
  </r>
  <r>
    <x v="187"/>
    <n v="-55"/>
  </r>
  <r>
    <x v="188"/>
    <n v="-3"/>
  </r>
  <r>
    <x v="189"/>
    <n v="-3"/>
  </r>
  <r>
    <x v="190"/>
    <n v="-6"/>
  </r>
  <r>
    <x v="191"/>
    <n v="-7"/>
  </r>
  <r>
    <x v="192"/>
    <n v="-2"/>
  </r>
  <r>
    <x v="193"/>
    <n v="-6"/>
  </r>
  <r>
    <x v="194"/>
    <n v="-3"/>
  </r>
  <r>
    <x v="195"/>
    <n v="-7"/>
  </r>
  <r>
    <x v="196"/>
    <n v="-8"/>
  </r>
  <r>
    <x v="197"/>
    <n v="-3"/>
  </r>
  <r>
    <x v="198"/>
    <n v="-3"/>
  </r>
  <r>
    <x v="199"/>
    <n v="-18"/>
  </r>
  <r>
    <x v="200"/>
    <n v="-12"/>
  </r>
  <r>
    <x v="201"/>
    <n v="-2"/>
  </r>
  <r>
    <x v="202"/>
    <n v="-17"/>
  </r>
  <r>
    <x v="203"/>
    <n v="-95"/>
  </r>
  <r>
    <x v="204"/>
    <n v="-241"/>
  </r>
  <r>
    <x v="205"/>
    <n v="-35"/>
  </r>
  <r>
    <x v="206"/>
    <n v="-1"/>
  </r>
  <r>
    <x v="207"/>
    <n v="-283"/>
  </r>
  <r>
    <x v="208"/>
    <n v="-98"/>
  </r>
  <r>
    <x v="209"/>
    <n v="-290"/>
  </r>
  <r>
    <x v="25"/>
    <n v="-92"/>
  </r>
  <r>
    <x v="210"/>
    <n v="-454"/>
  </r>
  <r>
    <x v="211"/>
    <n v="-314"/>
  </r>
  <r>
    <x v="212"/>
    <n v="-323"/>
  </r>
  <r>
    <x v="213"/>
    <n v="-191"/>
  </r>
  <r>
    <x v="214"/>
    <n v="-169"/>
  </r>
  <r>
    <x v="215"/>
    <n v="-20"/>
  </r>
  <r>
    <x v="216"/>
    <n v="-3"/>
  </r>
  <r>
    <x v="217"/>
    <n v="-3"/>
  </r>
  <r>
    <x v="218"/>
    <n v="-12"/>
  </r>
  <r>
    <x v="219"/>
    <n v="-1"/>
  </r>
  <r>
    <x v="220"/>
    <n v="-1"/>
  </r>
  <r>
    <x v="221"/>
    <n v="-6"/>
  </r>
  <r>
    <x v="222"/>
    <n v="-236"/>
  </r>
  <r>
    <x v="223"/>
    <n v="-36"/>
  </r>
  <r>
    <x v="224"/>
    <n v="-27"/>
  </r>
  <r>
    <x v="225"/>
    <n v="-20"/>
  </r>
  <r>
    <x v="226"/>
    <n v="-95"/>
  </r>
  <r>
    <x v="39"/>
    <n v="-5"/>
  </r>
  <r>
    <x v="227"/>
    <n v="-4"/>
  </r>
  <r>
    <x v="228"/>
    <n v="-29"/>
  </r>
  <r>
    <x v="43"/>
    <n v="-332"/>
  </r>
  <r>
    <x v="229"/>
    <n v="-290"/>
  </r>
  <r>
    <x v="230"/>
    <n v="-240"/>
  </r>
  <r>
    <x v="231"/>
    <n v="-20"/>
  </r>
  <r>
    <x v="232"/>
    <n v="-71"/>
  </r>
  <r>
    <x v="233"/>
    <n v="-54"/>
  </r>
  <r>
    <x v="234"/>
    <n v="-39"/>
  </r>
  <r>
    <x v="235"/>
    <n v="-152"/>
  </r>
  <r>
    <x v="236"/>
    <n v="-30"/>
  </r>
  <r>
    <x v="50"/>
    <n v="-567"/>
  </r>
  <r>
    <x v="237"/>
    <n v="-469"/>
  </r>
  <r>
    <x v="238"/>
    <n v="-165"/>
  </r>
  <r>
    <x v="51"/>
    <n v="-245"/>
  </r>
  <r>
    <x v="239"/>
    <n v="-505"/>
  </r>
  <r>
    <x v="240"/>
    <n v="-121"/>
  </r>
  <r>
    <x v="241"/>
    <n v="-435"/>
  </r>
  <r>
    <x v="54"/>
    <n v="-221"/>
  </r>
  <r>
    <x v="242"/>
    <n v="-15"/>
  </r>
  <r>
    <x v="243"/>
    <n v="-177"/>
  </r>
  <r>
    <x v="244"/>
    <n v="-156"/>
  </r>
  <r>
    <x v="245"/>
    <n v="-460"/>
  </r>
  <r>
    <x v="246"/>
    <n v="-268"/>
  </r>
  <r>
    <x v="247"/>
    <n v="-869"/>
  </r>
  <r>
    <x v="248"/>
    <n v="-5"/>
  </r>
  <r>
    <x v="249"/>
    <n v="-68"/>
  </r>
  <r>
    <x v="250"/>
    <n v="-85"/>
  </r>
  <r>
    <x v="251"/>
    <n v="-7"/>
  </r>
  <r>
    <x v="252"/>
    <n v="-8"/>
  </r>
  <r>
    <x v="253"/>
    <n v="-406"/>
  </r>
  <r>
    <x v="254"/>
    <n v="-41"/>
  </r>
  <r>
    <x v="255"/>
    <n v="-14"/>
  </r>
  <r>
    <x v="256"/>
    <n v="-3"/>
  </r>
  <r>
    <x v="257"/>
    <n v="-2"/>
  </r>
  <r>
    <x v="258"/>
    <n v="-25.16"/>
  </r>
  <r>
    <x v="259"/>
    <n v="-7.18"/>
  </r>
  <r>
    <x v="260"/>
    <n v="-20.16"/>
  </r>
  <r>
    <x v="261"/>
    <n v="-1289.83"/>
  </r>
  <r>
    <x v="262"/>
    <n v="-790.96"/>
  </r>
  <r>
    <x v="263"/>
    <n v="-2051.75"/>
  </r>
  <r>
    <x v="264"/>
    <n v="-70"/>
  </r>
  <r>
    <x v="265"/>
    <n v="-875.03"/>
  </r>
  <r>
    <x v="266"/>
    <n v="-68.260000000000005"/>
  </r>
  <r>
    <x v="267"/>
    <n v="-596"/>
  </r>
  <r>
    <x v="268"/>
    <n v="-166.4"/>
  </r>
  <r>
    <x v="83"/>
    <n v="-683.25"/>
  </r>
  <r>
    <x v="85"/>
    <n v="-106.86"/>
  </r>
  <r>
    <x v="86"/>
    <n v="-1225.19"/>
  </r>
  <r>
    <x v="87"/>
    <n v="-208.86"/>
  </r>
  <r>
    <x v="269"/>
    <n v="-386.49"/>
  </r>
  <r>
    <x v="270"/>
    <n v="-186.61"/>
  </r>
  <r>
    <x v="88"/>
    <n v="-280.32"/>
  </r>
  <r>
    <x v="89"/>
    <n v="-1166.3599999999999"/>
  </r>
  <r>
    <x v="271"/>
    <n v="-6.64"/>
  </r>
  <r>
    <x v="272"/>
    <n v="-12.15"/>
  </r>
  <r>
    <x v="273"/>
    <n v="-162.00800000000001"/>
  </r>
  <r>
    <x v="274"/>
    <n v="-56.27"/>
  </r>
  <r>
    <x v="275"/>
    <n v="-1129.8"/>
  </r>
  <r>
    <x v="276"/>
    <n v="-69.22"/>
  </r>
  <r>
    <x v="277"/>
    <n v="-28.71"/>
  </r>
  <r>
    <x v="278"/>
    <n v="-1375.11"/>
  </r>
  <r>
    <x v="279"/>
    <n v="-170.69"/>
  </r>
  <r>
    <x v="280"/>
    <n v="-35.83"/>
  </r>
  <r>
    <x v="281"/>
    <n v="-96.24"/>
  </r>
  <r>
    <x v="282"/>
    <n v="-185.45999999999998"/>
  </r>
  <r>
    <x v="101"/>
    <n v="-257.97000000000003"/>
  </r>
  <r>
    <x v="102"/>
    <n v="-168.05"/>
  </r>
  <r>
    <x v="283"/>
    <n v="-317.56"/>
  </r>
  <r>
    <x v="104"/>
    <n v="-400.09"/>
  </r>
  <r>
    <x v="105"/>
    <n v="-533.53"/>
  </r>
  <r>
    <x v="106"/>
    <n v="-870.95"/>
  </r>
  <r>
    <x v="107"/>
    <n v="-286.48"/>
  </r>
  <r>
    <x v="108"/>
    <n v="-63.41"/>
  </r>
  <r>
    <x v="109"/>
    <n v="-1469.7599999999998"/>
  </r>
  <r>
    <x v="110"/>
    <n v="-344.03999999999996"/>
  </r>
  <r>
    <x v="112"/>
    <n v="-1538.19"/>
  </r>
  <r>
    <x v="113"/>
    <n v="-946.95"/>
  </r>
  <r>
    <x v="114"/>
    <n v="-253.62"/>
  </r>
  <r>
    <x v="115"/>
    <n v="-1095.82"/>
  </r>
  <r>
    <x v="116"/>
    <n v="-206.54"/>
  </r>
  <r>
    <x v="284"/>
    <n v="-11.65"/>
  </r>
  <r>
    <x v="119"/>
    <n v="-437.78"/>
  </r>
  <r>
    <x v="120"/>
    <n v="-1468.4"/>
  </r>
  <r>
    <x v="122"/>
    <n v="-408.08"/>
  </r>
  <r>
    <x v="285"/>
    <n v="-17.95"/>
  </r>
  <r>
    <x v="286"/>
    <n v="-469.22"/>
  </r>
  <r>
    <x v="287"/>
    <n v="-77.900000000000006"/>
  </r>
  <r>
    <x v="123"/>
    <n v="-261.02999999999997"/>
  </r>
  <r>
    <x v="125"/>
    <n v="-315.12"/>
  </r>
  <r>
    <x v="126"/>
    <n v="-1637.46"/>
  </r>
  <r>
    <x v="128"/>
    <n v="-1010.6"/>
  </r>
  <r>
    <x v="129"/>
    <n v="-2038.87"/>
  </r>
  <r>
    <x v="130"/>
    <n v="-25.64"/>
  </r>
  <r>
    <x v="131"/>
    <n v="-1208.5900000000001"/>
  </r>
  <r>
    <x v="288"/>
    <n v="-38.9"/>
  </r>
  <r>
    <x v="132"/>
    <n v="-1396"/>
  </r>
  <r>
    <x v="289"/>
    <n v="-761.62"/>
  </r>
  <r>
    <x v="290"/>
    <n v="-831.07"/>
  </r>
  <r>
    <x v="134"/>
    <n v="-375.97"/>
  </r>
  <r>
    <x v="291"/>
    <n v="-192.6"/>
  </r>
  <r>
    <x v="135"/>
    <n v="-459.65000000000003"/>
  </r>
  <r>
    <x v="138"/>
    <n v="-34.049999999999997"/>
  </r>
  <r>
    <x v="139"/>
    <n v="-367.44"/>
  </r>
  <r>
    <x v="292"/>
    <n v="-21.87"/>
  </r>
  <r>
    <x v="140"/>
    <n v="-278.69"/>
  </r>
  <r>
    <x v="141"/>
    <n v="-261.5"/>
  </r>
  <r>
    <x v="293"/>
    <n v="-177.83"/>
  </r>
  <r>
    <x v="294"/>
    <n v="-2603.8200000000002"/>
  </r>
  <r>
    <x v="295"/>
    <n v="-364.52"/>
  </r>
  <r>
    <x v="296"/>
    <n v="-228.8"/>
  </r>
  <r>
    <x v="297"/>
    <n v="-18.850000000000001"/>
  </r>
  <r>
    <x v="298"/>
    <n v="-571.5800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4C299-22F8-4C01-84C5-263089312542}" name="数据透视表2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Q3:R151" firstHeaderRow="1" firstDataRow="1" firstDataCol="1"/>
  <pivotFields count="2">
    <pivotField axis="axisRow" showAll="0">
      <items count="148">
        <item x="52"/>
        <item x="82"/>
        <item x="76"/>
        <item x="79"/>
        <item x="64"/>
        <item x="66"/>
        <item x="62"/>
        <item x="67"/>
        <item x="54"/>
        <item x="60"/>
        <item x="85"/>
        <item x="86"/>
        <item x="81"/>
        <item x="53"/>
        <item x="80"/>
        <item x="51"/>
        <item x="73"/>
        <item x="77"/>
        <item x="83"/>
        <item x="58"/>
        <item x="55"/>
        <item x="56"/>
        <item x="41"/>
        <item x="40"/>
        <item x="35"/>
        <item x="38"/>
        <item x="39"/>
        <item x="42"/>
        <item x="37"/>
        <item x="36"/>
        <item x="19"/>
        <item x="21"/>
        <item x="20"/>
        <item x="22"/>
        <item x="59"/>
        <item x="87"/>
        <item x="16"/>
        <item x="17"/>
        <item x="18"/>
        <item x="78"/>
        <item x="71"/>
        <item x="14"/>
        <item x="13"/>
        <item x="12"/>
        <item x="15"/>
        <item x="61"/>
        <item x="69"/>
        <item x="65"/>
        <item x="28"/>
        <item x="33"/>
        <item x="27"/>
        <item x="30"/>
        <item x="29"/>
        <item x="31"/>
        <item x="24"/>
        <item x="23"/>
        <item x="34"/>
        <item x="32"/>
        <item x="57"/>
        <item x="9"/>
        <item x="3"/>
        <item x="5"/>
        <item x="0"/>
        <item x="2"/>
        <item x="7"/>
        <item x="8"/>
        <item x="10"/>
        <item x="11"/>
        <item x="4"/>
        <item x="1"/>
        <item x="6"/>
        <item x="70"/>
        <item x="25"/>
        <item x="26"/>
        <item x="63"/>
        <item x="43"/>
        <item x="47"/>
        <item x="45"/>
        <item x="49"/>
        <item x="50"/>
        <item x="46"/>
        <item x="44"/>
        <item x="48"/>
        <item x="131"/>
        <item x="134"/>
        <item x="129"/>
        <item x="132"/>
        <item x="127"/>
        <item x="128"/>
        <item x="133"/>
        <item x="130"/>
        <item x="141"/>
        <item x="140"/>
        <item x="135"/>
        <item x="139"/>
        <item x="138"/>
        <item x="136"/>
        <item x="137"/>
        <item x="109"/>
        <item x="111"/>
        <item x="146"/>
        <item x="107"/>
        <item x="108"/>
        <item x="110"/>
        <item x="118"/>
        <item x="119"/>
        <item x="113"/>
        <item x="117"/>
        <item x="143"/>
        <item x="116"/>
        <item x="114"/>
        <item x="115"/>
        <item x="106"/>
        <item x="120"/>
        <item x="123"/>
        <item x="121"/>
        <item x="144"/>
        <item x="145"/>
        <item x="126"/>
        <item x="125"/>
        <item x="122"/>
        <item x="124"/>
        <item x="112"/>
        <item x="96"/>
        <item x="97"/>
        <item x="88"/>
        <item x="90"/>
        <item x="92"/>
        <item x="93"/>
        <item x="89"/>
        <item x="91"/>
        <item x="94"/>
        <item x="95"/>
        <item x="98"/>
        <item x="101"/>
        <item x="99"/>
        <item x="102"/>
        <item x="142"/>
        <item x="105"/>
        <item x="104"/>
        <item x="100"/>
        <item x="103"/>
        <item x="72"/>
        <item x="75"/>
        <item x="74"/>
        <item x="84"/>
        <item x="68"/>
        <item t="default"/>
      </items>
    </pivotField>
    <pivotField dataField="1" showAll="0"/>
  </pivotFields>
  <rowFields count="1">
    <field x="0"/>
  </rowFields>
  <rowItems count="1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 t="grand">
      <x/>
    </i>
  </rowItems>
  <colItems count="1">
    <i/>
  </colItems>
  <dataFields count="1">
    <dataField name="求和项:数量（张）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A5B99-AE33-4209-920E-880DF75B3EE3}" name="数据透视表4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303" firstHeaderRow="1" firstDataRow="1" firstDataCol="1"/>
  <pivotFields count="2">
    <pivotField axis="axisRow" showAll="0">
      <items count="300">
        <item x="0"/>
        <item x="1"/>
        <item x="2"/>
        <item x="3"/>
        <item x="4"/>
        <item x="147"/>
        <item x="5"/>
        <item x="6"/>
        <item x="7"/>
        <item x="8"/>
        <item x="9"/>
        <item x="10"/>
        <item x="11"/>
        <item x="148"/>
        <item x="149"/>
        <item x="150"/>
        <item x="151"/>
        <item x="152"/>
        <item x="153"/>
        <item x="154"/>
        <item x="12"/>
        <item x="155"/>
        <item x="156"/>
        <item x="157"/>
        <item x="158"/>
        <item x="159"/>
        <item x="13"/>
        <item x="14"/>
        <item x="160"/>
        <item x="161"/>
        <item x="162"/>
        <item x="15"/>
        <item x="163"/>
        <item x="16"/>
        <item x="17"/>
        <item x="18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19"/>
        <item x="20"/>
        <item x="201"/>
        <item x="202"/>
        <item x="203"/>
        <item x="204"/>
        <item x="205"/>
        <item x="206"/>
        <item x="207"/>
        <item x="21"/>
        <item x="22"/>
        <item x="23"/>
        <item x="24"/>
        <item x="208"/>
        <item x="209"/>
        <item x="25"/>
        <item x="210"/>
        <item x="26"/>
        <item x="211"/>
        <item x="27"/>
        <item x="212"/>
        <item x="213"/>
        <item x="28"/>
        <item x="29"/>
        <item x="30"/>
        <item x="31"/>
        <item x="214"/>
        <item x="32"/>
        <item x="33"/>
        <item x="215"/>
        <item x="216"/>
        <item x="217"/>
        <item x="218"/>
        <item x="219"/>
        <item x="220"/>
        <item x="221"/>
        <item x="222"/>
        <item x="223"/>
        <item x="224"/>
        <item x="34"/>
        <item x="225"/>
        <item x="35"/>
        <item x="36"/>
        <item x="37"/>
        <item x="38"/>
        <item x="226"/>
        <item x="39"/>
        <item x="40"/>
        <item x="227"/>
        <item x="41"/>
        <item x="42"/>
        <item x="228"/>
        <item x="43"/>
        <item x="229"/>
        <item x="230"/>
        <item x="44"/>
        <item x="231"/>
        <item x="45"/>
        <item x="46"/>
        <item x="47"/>
        <item x="48"/>
        <item x="232"/>
        <item x="49"/>
        <item x="233"/>
        <item x="234"/>
        <item x="235"/>
        <item x="236"/>
        <item x="50"/>
        <item x="237"/>
        <item x="238"/>
        <item x="51"/>
        <item x="52"/>
        <item x="239"/>
        <item x="240"/>
        <item x="53"/>
        <item x="241"/>
        <item x="54"/>
        <item x="55"/>
        <item x="56"/>
        <item x="57"/>
        <item x="242"/>
        <item x="58"/>
        <item x="59"/>
        <item x="60"/>
        <item x="61"/>
        <item x="62"/>
        <item x="63"/>
        <item x="243"/>
        <item x="244"/>
        <item x="64"/>
        <item x="245"/>
        <item x="246"/>
        <item x="65"/>
        <item x="247"/>
        <item x="66"/>
        <item x="67"/>
        <item x="68"/>
        <item x="69"/>
        <item x="70"/>
        <item x="71"/>
        <item x="248"/>
        <item x="72"/>
        <item x="73"/>
        <item x="74"/>
        <item x="249"/>
        <item x="75"/>
        <item x="76"/>
        <item x="250"/>
        <item x="77"/>
        <item x="78"/>
        <item x="79"/>
        <item x="251"/>
        <item x="80"/>
        <item x="81"/>
        <item x="252"/>
        <item x="253"/>
        <item x="82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83"/>
        <item x="84"/>
        <item x="85"/>
        <item x="86"/>
        <item x="87"/>
        <item x="269"/>
        <item x="270"/>
        <item x="88"/>
        <item x="89"/>
        <item x="90"/>
        <item x="91"/>
        <item x="92"/>
        <item x="93"/>
        <item x="94"/>
        <item x="95"/>
        <item x="96"/>
        <item x="97"/>
        <item x="271"/>
        <item x="272"/>
        <item x="273"/>
        <item x="274"/>
        <item x="275"/>
        <item x="276"/>
        <item x="277"/>
        <item x="278"/>
        <item x="279"/>
        <item x="280"/>
        <item x="98"/>
        <item x="99"/>
        <item x="100"/>
        <item x="281"/>
        <item x="282"/>
        <item x="101"/>
        <item x="102"/>
        <item x="103"/>
        <item x="28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284"/>
        <item x="118"/>
        <item x="119"/>
        <item x="120"/>
        <item x="121"/>
        <item x="122"/>
        <item x="285"/>
        <item x="286"/>
        <item x="287"/>
        <item x="123"/>
        <item x="124"/>
        <item x="125"/>
        <item x="126"/>
        <item x="127"/>
        <item x="128"/>
        <item x="129"/>
        <item x="130"/>
        <item x="131"/>
        <item x="288"/>
        <item x="132"/>
        <item x="133"/>
        <item x="289"/>
        <item x="290"/>
        <item x="134"/>
        <item x="291"/>
        <item x="135"/>
        <item x="136"/>
        <item x="137"/>
        <item x="138"/>
        <item x="139"/>
        <item x="292"/>
        <item x="140"/>
        <item x="141"/>
        <item x="293"/>
        <item x="294"/>
        <item x="295"/>
        <item x="296"/>
        <item x="297"/>
        <item x="298"/>
        <item x="142"/>
        <item x="143"/>
        <item x="144"/>
        <item x="145"/>
        <item x="146"/>
        <item t="default"/>
      </items>
    </pivotField>
    <pivotField dataField="1" showAll="0"/>
  </pivotFields>
  <rowFields count="1">
    <field x="0"/>
  </rowFields>
  <rowItems count="3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 t="grand">
      <x/>
    </i>
  </rowItems>
  <colItems count="1">
    <i/>
  </colItems>
  <dataFields count="1">
    <dataField name="求和项:求和项:数量（张）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05641-E3FB-4FF5-94CF-55D1C423A255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L4:M201" firstHeaderRow="1" firstDataRow="1" firstDataCol="1"/>
  <pivotFields count="8">
    <pivotField axis="axisRow" showAll="0">
      <items count="197">
        <item x="116"/>
        <item x="11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7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112"/>
        <item x="75"/>
        <item x="76"/>
        <item x="77"/>
        <item x="78"/>
        <item x="79"/>
        <item x="80"/>
        <item x="81"/>
        <item x="82"/>
        <item x="83"/>
        <item x="113"/>
        <item x="84"/>
        <item x="85"/>
        <item x="0"/>
        <item x="86"/>
        <item x="87"/>
        <item x="88"/>
        <item x="89"/>
        <item x="114"/>
        <item x="90"/>
        <item x="91"/>
        <item x="92"/>
        <item x="93"/>
        <item x="94"/>
        <item x="95"/>
        <item x="96"/>
        <item x="97"/>
        <item x="98"/>
        <item x="1"/>
        <item x="99"/>
        <item x="100"/>
        <item x="101"/>
        <item x="115"/>
        <item x="102"/>
        <item x="2"/>
        <item x="3"/>
        <item x="4"/>
        <item x="5"/>
        <item x="103"/>
        <item x="104"/>
        <item x="105"/>
        <item x="106"/>
        <item x="107"/>
        <item x="6"/>
        <item x="108"/>
        <item x="109"/>
        <item x="110"/>
        <item x="111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 t="grand">
      <x/>
    </i>
  </rowItems>
  <colItems count="1">
    <i/>
  </colItems>
  <dataFields count="1">
    <dataField name="求和项:122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74"/>
  <sheetViews>
    <sheetView tabSelected="1" topLeftCell="A40" zoomScale="115" zoomScaleNormal="115" workbookViewId="0">
      <selection activeCell="H45" sqref="H45"/>
    </sheetView>
  </sheetViews>
  <sheetFormatPr defaultColWidth="9" defaultRowHeight="14.25" customHeight="1" x14ac:dyDescent="0.2"/>
  <cols>
    <col min="1" max="1" width="19.75" customWidth="1"/>
    <col min="2" max="2" width="13" customWidth="1"/>
    <col min="3" max="3" width="19.25" customWidth="1"/>
    <col min="4" max="4" width="33.875" customWidth="1"/>
    <col min="5" max="5" width="10.5" customWidth="1"/>
  </cols>
  <sheetData>
    <row r="1" spans="1:5" s="9" customFormat="1" ht="14.25" customHeight="1" x14ac:dyDescent="0.2">
      <c r="A1" s="3" t="s">
        <v>0</v>
      </c>
      <c r="B1" s="3" t="s">
        <v>1</v>
      </c>
      <c r="C1" s="3" t="s">
        <v>2</v>
      </c>
      <c r="D1" s="10" t="s">
        <v>3</v>
      </c>
      <c r="E1" s="3" t="s">
        <v>4</v>
      </c>
    </row>
    <row r="2" spans="1:5" ht="14.25" customHeight="1" x14ac:dyDescent="0.2">
      <c r="A2" s="4" t="s">
        <v>5</v>
      </c>
      <c r="B2" s="4">
        <v>15</v>
      </c>
      <c r="C2" s="6" t="s">
        <v>6</v>
      </c>
      <c r="D2" s="4"/>
      <c r="E2" s="4" t="s">
        <v>7</v>
      </c>
    </row>
    <row r="3" spans="1:5" ht="14.25" customHeight="1" x14ac:dyDescent="0.2">
      <c r="A3" s="4" t="s">
        <v>8</v>
      </c>
      <c r="B3" s="4">
        <v>121</v>
      </c>
      <c r="C3" s="6" t="s">
        <v>6</v>
      </c>
      <c r="D3" s="4"/>
      <c r="E3" s="4" t="s">
        <v>7</v>
      </c>
    </row>
    <row r="4" spans="1:5" ht="14.25" customHeight="1" x14ac:dyDescent="0.2">
      <c r="A4" s="4" t="s">
        <v>9</v>
      </c>
      <c r="B4" s="4">
        <v>117</v>
      </c>
      <c r="C4" s="6" t="s">
        <v>6</v>
      </c>
      <c r="D4" s="4"/>
      <c r="E4" s="4" t="s">
        <v>7</v>
      </c>
    </row>
    <row r="5" spans="1:5" ht="14.25" customHeight="1" x14ac:dyDescent="0.2">
      <c r="A5" s="4" t="s">
        <v>10</v>
      </c>
      <c r="B5" s="4">
        <v>13</v>
      </c>
      <c r="C5" s="7" t="s">
        <v>11</v>
      </c>
      <c r="D5" s="4"/>
      <c r="E5" s="4" t="s">
        <v>7</v>
      </c>
    </row>
    <row r="6" spans="1:5" ht="14.25" customHeight="1" x14ac:dyDescent="0.2">
      <c r="A6" s="4" t="s">
        <v>12</v>
      </c>
      <c r="B6" s="4">
        <v>44</v>
      </c>
      <c r="C6" s="6" t="s">
        <v>6</v>
      </c>
      <c r="D6" s="4"/>
      <c r="E6" s="4" t="s">
        <v>7</v>
      </c>
    </row>
    <row r="7" spans="1:5" ht="14.25" customHeight="1" x14ac:dyDescent="0.2">
      <c r="A7" s="4" t="s">
        <v>13</v>
      </c>
      <c r="B7" s="4">
        <v>37</v>
      </c>
      <c r="C7" s="7" t="s">
        <v>11</v>
      </c>
      <c r="D7" s="4"/>
      <c r="E7" s="4" t="s">
        <v>7</v>
      </c>
    </row>
    <row r="8" spans="1:5" ht="14.25" customHeight="1" x14ac:dyDescent="0.2">
      <c r="A8" s="4" t="s">
        <v>14</v>
      </c>
      <c r="B8" s="4">
        <v>89</v>
      </c>
      <c r="C8" s="7" t="s">
        <v>11</v>
      </c>
      <c r="D8" s="4"/>
      <c r="E8" s="4" t="s">
        <v>7</v>
      </c>
    </row>
    <row r="9" spans="1:5" ht="14.25" customHeight="1" x14ac:dyDescent="0.2">
      <c r="A9" s="4" t="s">
        <v>15</v>
      </c>
      <c r="B9" s="4">
        <v>304</v>
      </c>
      <c r="C9" s="6" t="s">
        <v>6</v>
      </c>
      <c r="D9" s="4"/>
      <c r="E9" s="4" t="s">
        <v>7</v>
      </c>
    </row>
    <row r="10" spans="1:5" ht="14.25" customHeight="1" x14ac:dyDescent="0.2">
      <c r="A10" s="4" t="s">
        <v>16</v>
      </c>
      <c r="B10" s="4">
        <v>398</v>
      </c>
      <c r="C10" s="6" t="s">
        <v>6</v>
      </c>
      <c r="D10" s="4"/>
      <c r="E10" s="4" t="s">
        <v>7</v>
      </c>
    </row>
    <row r="11" spans="1:5" ht="14.25" customHeight="1" x14ac:dyDescent="0.2">
      <c r="A11" s="4" t="s">
        <v>9</v>
      </c>
      <c r="B11" s="4">
        <v>96</v>
      </c>
      <c r="C11" s="6" t="s">
        <v>6</v>
      </c>
      <c r="D11" s="4"/>
      <c r="E11" s="4" t="s">
        <v>7</v>
      </c>
    </row>
    <row r="12" spans="1:5" ht="14.25" customHeight="1" x14ac:dyDescent="0.2">
      <c r="A12" s="4" t="s">
        <v>15</v>
      </c>
      <c r="B12" s="4">
        <v>46</v>
      </c>
      <c r="C12" s="6" t="s">
        <v>6</v>
      </c>
      <c r="D12" s="4"/>
      <c r="E12" s="4" t="s">
        <v>7</v>
      </c>
    </row>
    <row r="13" spans="1:5" ht="14.25" customHeight="1" x14ac:dyDescent="0.2">
      <c r="A13" s="4" t="s">
        <v>16</v>
      </c>
      <c r="B13" s="4">
        <v>83</v>
      </c>
      <c r="C13" s="6" t="s">
        <v>6</v>
      </c>
      <c r="D13" s="4"/>
      <c r="E13" s="4" t="s">
        <v>7</v>
      </c>
    </row>
    <row r="14" spans="1:5" ht="14.25" customHeight="1" x14ac:dyDescent="0.2">
      <c r="A14" s="4" t="s">
        <v>16</v>
      </c>
      <c r="B14" s="4">
        <v>80</v>
      </c>
      <c r="C14" s="6" t="s">
        <v>6</v>
      </c>
      <c r="D14" s="4"/>
      <c r="E14" s="4" t="s">
        <v>7</v>
      </c>
    </row>
    <row r="15" spans="1:5" ht="14.25" customHeight="1" x14ac:dyDescent="0.2">
      <c r="A15" s="4" t="s">
        <v>8</v>
      </c>
      <c r="B15" s="4">
        <v>66</v>
      </c>
      <c r="C15" s="6" t="s">
        <v>6</v>
      </c>
      <c r="D15" s="4"/>
      <c r="E15" s="4" t="s">
        <v>7</v>
      </c>
    </row>
    <row r="16" spans="1:5" ht="14.25" customHeight="1" x14ac:dyDescent="0.2">
      <c r="A16" s="4" t="s">
        <v>9</v>
      </c>
      <c r="B16" s="4">
        <v>39</v>
      </c>
      <c r="C16" s="6" t="s">
        <v>6</v>
      </c>
      <c r="D16" s="4"/>
      <c r="E16" s="4" t="s">
        <v>7</v>
      </c>
    </row>
    <row r="17" spans="1:6" ht="14.25" customHeight="1" x14ac:dyDescent="0.2">
      <c r="A17" s="4" t="s">
        <v>15</v>
      </c>
      <c r="B17" s="4">
        <v>59</v>
      </c>
      <c r="C17" s="6" t="s">
        <v>6</v>
      </c>
      <c r="D17" s="4"/>
      <c r="E17" s="4" t="s">
        <v>7</v>
      </c>
    </row>
    <row r="18" spans="1:6" ht="14.25" customHeight="1" x14ac:dyDescent="0.2">
      <c r="A18" s="4" t="s">
        <v>8</v>
      </c>
      <c r="B18" s="4">
        <v>49</v>
      </c>
      <c r="C18" s="6" t="s">
        <v>6</v>
      </c>
      <c r="D18" s="4"/>
      <c r="E18" s="4" t="s">
        <v>7</v>
      </c>
    </row>
    <row r="19" spans="1:6" ht="14.25" customHeight="1" x14ac:dyDescent="0.2">
      <c r="A19" s="4" t="s">
        <v>14</v>
      </c>
      <c r="B19" s="4">
        <v>51</v>
      </c>
      <c r="C19" s="7" t="s">
        <v>11</v>
      </c>
      <c r="D19" s="4"/>
      <c r="E19" s="4" t="s">
        <v>7</v>
      </c>
    </row>
    <row r="20" spans="1:6" ht="14.25" customHeight="1" x14ac:dyDescent="0.2">
      <c r="A20" s="4" t="s">
        <v>13</v>
      </c>
      <c r="B20" s="4">
        <v>26</v>
      </c>
      <c r="C20" s="7" t="s">
        <v>11</v>
      </c>
      <c r="D20" s="4"/>
      <c r="E20" s="4" t="s">
        <v>7</v>
      </c>
    </row>
    <row r="21" spans="1:6" ht="14.25" customHeight="1" x14ac:dyDescent="0.2">
      <c r="A21" s="4" t="s">
        <v>17</v>
      </c>
      <c r="B21" s="4">
        <v>84</v>
      </c>
      <c r="C21" s="7" t="s">
        <v>11</v>
      </c>
      <c r="D21" s="4" t="s">
        <v>18</v>
      </c>
      <c r="E21" s="4" t="s">
        <v>7</v>
      </c>
      <c r="F21" t="s">
        <v>19</v>
      </c>
    </row>
    <row r="22" spans="1:6" ht="14.25" customHeight="1" x14ac:dyDescent="0.2">
      <c r="A22" s="4" t="s">
        <v>8</v>
      </c>
      <c r="B22" s="4">
        <v>181</v>
      </c>
      <c r="C22" s="6" t="s">
        <v>6</v>
      </c>
      <c r="D22" s="4"/>
      <c r="E22" s="4" t="s">
        <v>7</v>
      </c>
    </row>
    <row r="23" spans="1:6" ht="14.25" customHeight="1" x14ac:dyDescent="0.2">
      <c r="A23" s="4" t="s">
        <v>15</v>
      </c>
      <c r="B23" s="4">
        <v>110</v>
      </c>
      <c r="C23" s="6" t="s">
        <v>6</v>
      </c>
      <c r="D23" s="4"/>
      <c r="E23" s="4" t="s">
        <v>7</v>
      </c>
    </row>
    <row r="24" spans="1:6" ht="14.25" customHeight="1" x14ac:dyDescent="0.2">
      <c r="A24" s="4" t="s">
        <v>20</v>
      </c>
      <c r="B24" s="4">
        <v>72</v>
      </c>
      <c r="C24" s="6" t="s">
        <v>6</v>
      </c>
      <c r="D24" s="4"/>
      <c r="E24" s="4" t="s">
        <v>7</v>
      </c>
    </row>
    <row r="25" spans="1:6" ht="14.25" customHeight="1" x14ac:dyDescent="0.2">
      <c r="A25" s="4" t="s">
        <v>5</v>
      </c>
      <c r="B25" s="4">
        <v>66</v>
      </c>
      <c r="C25" s="6" t="s">
        <v>6</v>
      </c>
      <c r="D25" s="4"/>
      <c r="E25" s="4" t="s">
        <v>7</v>
      </c>
    </row>
    <row r="26" spans="1:6" ht="14.25" customHeight="1" x14ac:dyDescent="0.2">
      <c r="A26" s="4" t="s">
        <v>21</v>
      </c>
      <c r="B26" s="4">
        <v>70</v>
      </c>
      <c r="C26" s="6" t="s">
        <v>6</v>
      </c>
      <c r="D26" s="4"/>
      <c r="E26" s="4" t="s">
        <v>7</v>
      </c>
    </row>
    <row r="27" spans="1:6" ht="14.25" customHeight="1" x14ac:dyDescent="0.2">
      <c r="A27" s="4" t="s">
        <v>21</v>
      </c>
      <c r="B27" s="4">
        <v>33</v>
      </c>
      <c r="C27" s="6" t="s">
        <v>6</v>
      </c>
      <c r="D27" s="4"/>
      <c r="E27" s="4" t="s">
        <v>7</v>
      </c>
    </row>
    <row r="28" spans="1:6" ht="14.25" customHeight="1" x14ac:dyDescent="0.2">
      <c r="A28" s="4" t="s">
        <v>22</v>
      </c>
      <c r="B28" s="4">
        <v>119</v>
      </c>
      <c r="C28" s="6" t="s">
        <v>6</v>
      </c>
      <c r="D28" s="4"/>
      <c r="E28" s="4" t="s">
        <v>23</v>
      </c>
    </row>
    <row r="29" spans="1:6" ht="14.25" customHeight="1" x14ac:dyDescent="0.2">
      <c r="A29" s="4" t="s">
        <v>24</v>
      </c>
      <c r="B29" s="4">
        <v>121</v>
      </c>
      <c r="C29" s="7" t="s">
        <v>11</v>
      </c>
      <c r="D29" s="4"/>
      <c r="E29" s="4" t="s">
        <v>23</v>
      </c>
    </row>
    <row r="30" spans="1:6" ht="14.25" customHeight="1" x14ac:dyDescent="0.2">
      <c r="A30" s="4" t="s">
        <v>22</v>
      </c>
      <c r="B30" s="4">
        <v>12</v>
      </c>
      <c r="C30" s="6" t="s">
        <v>6</v>
      </c>
      <c r="D30" s="4"/>
      <c r="E30" s="4" t="s">
        <v>23</v>
      </c>
    </row>
    <row r="31" spans="1:6" ht="14.25" customHeight="1" x14ac:dyDescent="0.2">
      <c r="A31" s="4" t="s">
        <v>25</v>
      </c>
      <c r="B31" s="4">
        <v>144</v>
      </c>
      <c r="C31" s="6" t="s">
        <v>6</v>
      </c>
      <c r="D31" s="4"/>
      <c r="E31" s="4" t="s">
        <v>23</v>
      </c>
    </row>
    <row r="32" spans="1:6" ht="14.25" customHeight="1" x14ac:dyDescent="0.2">
      <c r="A32" s="4" t="s">
        <v>26</v>
      </c>
      <c r="B32" s="4">
        <v>174</v>
      </c>
      <c r="C32" s="6" t="s">
        <v>6</v>
      </c>
      <c r="D32" s="4"/>
      <c r="E32" s="4" t="s">
        <v>23</v>
      </c>
    </row>
    <row r="33" spans="1:6" ht="14.25" customHeight="1" x14ac:dyDescent="0.2">
      <c r="A33" s="4" t="s">
        <v>24</v>
      </c>
      <c r="B33" s="4">
        <v>360</v>
      </c>
      <c r="C33" s="7" t="s">
        <v>11</v>
      </c>
      <c r="D33" s="4"/>
      <c r="E33" s="4" t="s">
        <v>23</v>
      </c>
    </row>
    <row r="34" spans="1:6" ht="14.25" customHeight="1" x14ac:dyDescent="0.2">
      <c r="A34" s="4" t="s">
        <v>27</v>
      </c>
      <c r="B34" s="4">
        <v>88</v>
      </c>
      <c r="C34" s="7" t="s">
        <v>11</v>
      </c>
      <c r="D34" s="4"/>
      <c r="E34" s="4" t="s">
        <v>23</v>
      </c>
    </row>
    <row r="35" spans="1:6" ht="14.25" customHeight="1" x14ac:dyDescent="0.2">
      <c r="A35" s="16" t="s">
        <v>535</v>
      </c>
      <c r="B35" s="4">
        <v>25</v>
      </c>
      <c r="C35" s="7" t="s">
        <v>11</v>
      </c>
      <c r="D35" s="4"/>
      <c r="E35" s="4" t="s">
        <v>23</v>
      </c>
      <c r="F35" t="s">
        <v>29</v>
      </c>
    </row>
    <row r="36" spans="1:6" ht="14.25" customHeight="1" x14ac:dyDescent="0.2">
      <c r="A36" s="4" t="s">
        <v>30</v>
      </c>
      <c r="B36" s="4">
        <v>20</v>
      </c>
      <c r="C36" s="6" t="s">
        <v>6</v>
      </c>
      <c r="D36" s="4"/>
      <c r="E36" s="4" t="s">
        <v>23</v>
      </c>
    </row>
    <row r="37" spans="1:6" ht="14.25" customHeight="1" x14ac:dyDescent="0.2">
      <c r="A37" s="4" t="s">
        <v>31</v>
      </c>
      <c r="B37" s="4">
        <v>3</v>
      </c>
      <c r="C37" s="6" t="s">
        <v>6</v>
      </c>
      <c r="D37" s="4"/>
      <c r="E37" s="4" t="s">
        <v>23</v>
      </c>
    </row>
    <row r="38" spans="1:6" ht="14.25" customHeight="1" x14ac:dyDescent="0.2">
      <c r="A38" s="4" t="s">
        <v>30</v>
      </c>
      <c r="B38" s="4">
        <v>25</v>
      </c>
      <c r="C38" s="6" t="s">
        <v>6</v>
      </c>
      <c r="D38" s="4"/>
      <c r="E38" s="4" t="s">
        <v>23</v>
      </c>
    </row>
    <row r="39" spans="1:6" ht="14.25" customHeight="1" x14ac:dyDescent="0.2">
      <c r="A39" s="4" t="s">
        <v>31</v>
      </c>
      <c r="B39" s="4">
        <v>15</v>
      </c>
      <c r="C39" s="6" t="s">
        <v>6</v>
      </c>
      <c r="D39" s="4"/>
      <c r="E39" s="4" t="s">
        <v>23</v>
      </c>
    </row>
    <row r="40" spans="1:6" ht="14.25" customHeight="1" x14ac:dyDescent="0.2">
      <c r="A40" s="4" t="s">
        <v>30</v>
      </c>
      <c r="B40" s="4">
        <v>32</v>
      </c>
      <c r="C40" s="6" t="s">
        <v>6</v>
      </c>
      <c r="D40" s="4"/>
      <c r="E40" s="4" t="s">
        <v>23</v>
      </c>
    </row>
    <row r="41" spans="1:6" ht="14.25" customHeight="1" x14ac:dyDescent="0.2">
      <c r="A41" s="4" t="s">
        <v>32</v>
      </c>
      <c r="B41" s="4">
        <v>7</v>
      </c>
      <c r="C41" s="7" t="s">
        <v>11</v>
      </c>
      <c r="D41" s="4"/>
      <c r="E41" s="4" t="s">
        <v>33</v>
      </c>
    </row>
    <row r="42" spans="1:6" ht="14.25" customHeight="1" x14ac:dyDescent="0.2">
      <c r="A42" s="4" t="s">
        <v>34</v>
      </c>
      <c r="B42" s="4">
        <v>81</v>
      </c>
      <c r="C42" s="7" t="s">
        <v>11</v>
      </c>
      <c r="D42" s="4"/>
      <c r="E42" s="4" t="s">
        <v>33</v>
      </c>
    </row>
    <row r="43" spans="1:6" ht="14.25" customHeight="1" x14ac:dyDescent="0.2">
      <c r="A43" s="4" t="s">
        <v>35</v>
      </c>
      <c r="B43" s="4">
        <v>21</v>
      </c>
      <c r="C43" s="7" t="s">
        <v>11</v>
      </c>
      <c r="D43" s="4"/>
      <c r="E43" s="4" t="s">
        <v>33</v>
      </c>
    </row>
    <row r="44" spans="1:6" ht="14.25" customHeight="1" x14ac:dyDescent="0.2">
      <c r="A44" s="4" t="s">
        <v>36</v>
      </c>
      <c r="B44" s="4">
        <v>77</v>
      </c>
      <c r="C44" s="6" t="s">
        <v>6</v>
      </c>
      <c r="D44" s="4"/>
      <c r="E44" s="4" t="s">
        <v>33</v>
      </c>
    </row>
    <row r="45" spans="1:6" ht="14.25" customHeight="1" x14ac:dyDescent="0.2">
      <c r="A45" s="4" t="s">
        <v>37</v>
      </c>
      <c r="B45" s="4">
        <v>23</v>
      </c>
      <c r="C45" s="7" t="s">
        <v>11</v>
      </c>
      <c r="D45" s="4"/>
      <c r="E45" s="4" t="s">
        <v>33</v>
      </c>
    </row>
    <row r="46" spans="1:6" ht="14.25" customHeight="1" x14ac:dyDescent="0.2">
      <c r="A46" s="4" t="s">
        <v>38</v>
      </c>
      <c r="B46" s="4">
        <v>98</v>
      </c>
      <c r="C46" s="6" t="s">
        <v>6</v>
      </c>
      <c r="D46" s="4"/>
      <c r="E46" s="4" t="s">
        <v>33</v>
      </c>
    </row>
    <row r="47" spans="1:6" ht="14.25" customHeight="1" x14ac:dyDescent="0.2">
      <c r="A47" s="4" t="s">
        <v>39</v>
      </c>
      <c r="B47" s="4">
        <v>44</v>
      </c>
      <c r="C47" s="7" t="s">
        <v>11</v>
      </c>
      <c r="D47" s="4"/>
      <c r="E47" s="4" t="s">
        <v>33</v>
      </c>
    </row>
    <row r="48" spans="1:6" ht="14.25" customHeight="1" x14ac:dyDescent="0.2">
      <c r="A48" s="4" t="s">
        <v>40</v>
      </c>
      <c r="B48" s="4">
        <v>18</v>
      </c>
      <c r="C48" s="6" t="s">
        <v>6</v>
      </c>
      <c r="D48" s="4"/>
      <c r="E48" s="4" t="s">
        <v>33</v>
      </c>
    </row>
    <row r="49" spans="1:6" s="20" customFormat="1" ht="14.25" customHeight="1" x14ac:dyDescent="0.2">
      <c r="A49" s="18" t="s">
        <v>41</v>
      </c>
      <c r="B49" s="18">
        <v>59</v>
      </c>
      <c r="C49" s="19" t="s">
        <v>6</v>
      </c>
      <c r="D49" s="18"/>
      <c r="E49" s="18" t="s">
        <v>33</v>
      </c>
      <c r="F49" s="21" t="s">
        <v>549</v>
      </c>
    </row>
    <row r="50" spans="1:6" ht="14.25" customHeight="1" x14ac:dyDescent="0.2">
      <c r="A50" s="4" t="s">
        <v>42</v>
      </c>
      <c r="B50" s="4">
        <v>163</v>
      </c>
      <c r="C50" s="7" t="s">
        <v>11</v>
      </c>
      <c r="D50" s="4" t="s">
        <v>18</v>
      </c>
      <c r="E50" s="4" t="s">
        <v>33</v>
      </c>
      <c r="F50" t="s">
        <v>43</v>
      </c>
    </row>
    <row r="51" spans="1:6" ht="14.25" customHeight="1" x14ac:dyDescent="0.2">
      <c r="A51" s="4" t="s">
        <v>42</v>
      </c>
      <c r="B51" s="4">
        <v>131</v>
      </c>
      <c r="C51" s="7" t="s">
        <v>11</v>
      </c>
      <c r="D51" s="4" t="s">
        <v>18</v>
      </c>
      <c r="E51" s="4" t="s">
        <v>33</v>
      </c>
      <c r="F51" t="s">
        <v>44</v>
      </c>
    </row>
    <row r="52" spans="1:6" ht="14.25" customHeight="1" x14ac:dyDescent="0.2">
      <c r="A52" s="4" t="s">
        <v>41</v>
      </c>
      <c r="B52" s="4">
        <v>62</v>
      </c>
      <c r="C52" s="6" t="s">
        <v>6</v>
      </c>
      <c r="D52" s="4"/>
      <c r="E52" s="4" t="s">
        <v>33</v>
      </c>
    </row>
    <row r="53" spans="1:6" ht="14.25" customHeight="1" x14ac:dyDescent="0.2">
      <c r="A53" s="4" t="s">
        <v>42</v>
      </c>
      <c r="B53" s="4">
        <v>140</v>
      </c>
      <c r="C53" s="7" t="s">
        <v>11</v>
      </c>
      <c r="D53" s="4" t="s">
        <v>18</v>
      </c>
      <c r="E53" s="4" t="s">
        <v>33</v>
      </c>
      <c r="F53" t="s">
        <v>45</v>
      </c>
    </row>
    <row r="54" spans="1:6" ht="14.25" customHeight="1" x14ac:dyDescent="0.2">
      <c r="A54" s="4" t="s">
        <v>42</v>
      </c>
      <c r="B54" s="4">
        <v>65</v>
      </c>
      <c r="C54" s="7" t="s">
        <v>11</v>
      </c>
      <c r="D54" s="4" t="s">
        <v>18</v>
      </c>
      <c r="E54" s="4" t="s">
        <v>33</v>
      </c>
      <c r="F54" t="s">
        <v>45</v>
      </c>
    </row>
    <row r="55" spans="1:6" ht="14.25" customHeight="1" x14ac:dyDescent="0.2">
      <c r="A55" s="4" t="s">
        <v>46</v>
      </c>
      <c r="B55" s="4">
        <v>525</v>
      </c>
      <c r="C55" s="7" t="s">
        <v>11</v>
      </c>
      <c r="D55" s="4"/>
      <c r="E55" s="4" t="s">
        <v>33</v>
      </c>
    </row>
    <row r="56" spans="1:6" ht="14.25" customHeight="1" x14ac:dyDescent="0.2">
      <c r="A56" s="4" t="s">
        <v>47</v>
      </c>
      <c r="B56" s="4">
        <v>271</v>
      </c>
      <c r="C56" s="6" t="s">
        <v>6</v>
      </c>
      <c r="D56" s="4"/>
      <c r="E56" s="4" t="s">
        <v>33</v>
      </c>
    </row>
    <row r="57" spans="1:6" ht="14.25" customHeight="1" x14ac:dyDescent="0.2">
      <c r="A57" s="4" t="s">
        <v>48</v>
      </c>
      <c r="B57" s="4">
        <v>168</v>
      </c>
      <c r="C57" s="6" t="s">
        <v>6</v>
      </c>
      <c r="D57" s="4"/>
      <c r="E57" s="4" t="s">
        <v>33</v>
      </c>
    </row>
    <row r="58" spans="1:6" ht="14.25" customHeight="1" x14ac:dyDescent="0.2">
      <c r="A58" s="4" t="s">
        <v>49</v>
      </c>
      <c r="B58" s="4">
        <v>191</v>
      </c>
      <c r="C58" s="7" t="s">
        <v>11</v>
      </c>
      <c r="D58" s="4"/>
      <c r="E58" s="4" t="s">
        <v>33</v>
      </c>
    </row>
    <row r="59" spans="1:6" ht="14.25" customHeight="1" x14ac:dyDescent="0.2">
      <c r="A59" s="4" t="s">
        <v>47</v>
      </c>
      <c r="B59" s="4">
        <v>23</v>
      </c>
      <c r="C59" s="6" t="s">
        <v>6</v>
      </c>
      <c r="D59" s="4"/>
      <c r="E59" s="4" t="s">
        <v>33</v>
      </c>
    </row>
    <row r="60" spans="1:6" ht="14.25" customHeight="1" x14ac:dyDescent="0.2">
      <c r="A60" s="4" t="s">
        <v>48</v>
      </c>
      <c r="B60" s="4">
        <v>34</v>
      </c>
      <c r="C60" s="6" t="s">
        <v>6</v>
      </c>
      <c r="D60" s="4"/>
      <c r="E60" s="4" t="s">
        <v>33</v>
      </c>
    </row>
    <row r="61" spans="1:6" ht="14.25" customHeight="1" x14ac:dyDescent="0.2">
      <c r="A61" s="4" t="s">
        <v>41</v>
      </c>
      <c r="B61" s="4">
        <v>65</v>
      </c>
      <c r="C61" s="6" t="s">
        <v>6</v>
      </c>
      <c r="D61" s="4"/>
      <c r="E61" s="4" t="s">
        <v>33</v>
      </c>
    </row>
    <row r="62" spans="1:6" ht="14.25" customHeight="1" x14ac:dyDescent="0.2">
      <c r="A62" s="4" t="s">
        <v>47</v>
      </c>
      <c r="B62" s="4">
        <v>50</v>
      </c>
      <c r="C62" s="6" t="s">
        <v>6</v>
      </c>
      <c r="D62" s="4"/>
      <c r="E62" s="4" t="s">
        <v>33</v>
      </c>
    </row>
    <row r="63" spans="1:6" ht="14.25" customHeight="1" x14ac:dyDescent="0.2">
      <c r="A63" s="4" t="s">
        <v>48</v>
      </c>
      <c r="B63" s="4">
        <v>16</v>
      </c>
      <c r="C63" s="6" t="s">
        <v>6</v>
      </c>
      <c r="D63" s="4"/>
      <c r="E63" s="4" t="s">
        <v>33</v>
      </c>
    </row>
    <row r="64" spans="1:6" ht="14.25" customHeight="1" x14ac:dyDescent="0.2">
      <c r="A64" s="4" t="s">
        <v>50</v>
      </c>
      <c r="B64" s="4">
        <v>74</v>
      </c>
      <c r="C64" s="7" t="s">
        <v>11</v>
      </c>
      <c r="D64" s="4"/>
      <c r="E64" s="4" t="s">
        <v>33</v>
      </c>
    </row>
    <row r="65" spans="1:7" ht="14.25" customHeight="1" x14ac:dyDescent="0.2">
      <c r="A65" s="4" t="s">
        <v>51</v>
      </c>
      <c r="B65" s="4">
        <v>57</v>
      </c>
      <c r="C65" s="7" t="s">
        <v>11</v>
      </c>
      <c r="D65" s="4"/>
      <c r="E65" s="4" t="s">
        <v>33</v>
      </c>
    </row>
    <row r="66" spans="1:7" ht="14.25" customHeight="1" x14ac:dyDescent="0.2">
      <c r="A66" s="4" t="s">
        <v>52</v>
      </c>
      <c r="B66" s="8">
        <v>70</v>
      </c>
      <c r="C66" s="7" t="s">
        <v>11</v>
      </c>
      <c r="D66" s="4"/>
      <c r="E66" s="4" t="s">
        <v>53</v>
      </c>
      <c r="F66" s="11"/>
    </row>
    <row r="67" spans="1:7" ht="14.25" customHeight="1" x14ac:dyDescent="0.2">
      <c r="A67" s="4" t="s">
        <v>54</v>
      </c>
      <c r="B67" s="8">
        <v>93</v>
      </c>
      <c r="C67" s="7" t="s">
        <v>11</v>
      </c>
      <c r="D67" s="4"/>
      <c r="E67" s="4" t="s">
        <v>53</v>
      </c>
      <c r="F67" s="11"/>
    </row>
    <row r="68" spans="1:7" ht="14.25" customHeight="1" x14ac:dyDescent="0.2">
      <c r="A68" s="4" t="s">
        <v>55</v>
      </c>
      <c r="B68" s="8">
        <v>160</v>
      </c>
      <c r="C68" s="6" t="s">
        <v>6</v>
      </c>
      <c r="D68" s="4"/>
      <c r="E68" s="4" t="s">
        <v>53</v>
      </c>
      <c r="F68" s="11"/>
    </row>
    <row r="69" spans="1:7" ht="14.25" customHeight="1" x14ac:dyDescent="0.2">
      <c r="A69" s="4" t="s">
        <v>56</v>
      </c>
      <c r="B69" s="8">
        <v>43</v>
      </c>
      <c r="C69" s="6" t="s">
        <v>6</v>
      </c>
      <c r="D69" s="4"/>
      <c r="E69" s="4" t="s">
        <v>53</v>
      </c>
      <c r="F69" s="11"/>
    </row>
    <row r="70" spans="1:7" ht="14.25" customHeight="1" x14ac:dyDescent="0.2">
      <c r="A70" s="4" t="s">
        <v>57</v>
      </c>
      <c r="B70" s="8">
        <v>12</v>
      </c>
      <c r="C70" s="6" t="s">
        <v>6</v>
      </c>
      <c r="D70" s="4"/>
      <c r="E70" s="4" t="s">
        <v>53</v>
      </c>
      <c r="F70" s="11"/>
    </row>
    <row r="71" spans="1:7" ht="14.25" customHeight="1" x14ac:dyDescent="0.2">
      <c r="A71" s="4" t="s">
        <v>58</v>
      </c>
      <c r="B71" s="8">
        <v>109</v>
      </c>
      <c r="C71" s="7" t="s">
        <v>11</v>
      </c>
      <c r="D71" s="4"/>
      <c r="E71" s="4" t="s">
        <v>53</v>
      </c>
      <c r="F71" s="11"/>
    </row>
    <row r="72" spans="1:7" ht="14.25" customHeight="1" x14ac:dyDescent="0.2">
      <c r="A72" s="4" t="s">
        <v>57</v>
      </c>
      <c r="B72" s="8">
        <v>199</v>
      </c>
      <c r="C72" s="6" t="s">
        <v>6</v>
      </c>
      <c r="D72" s="4"/>
      <c r="E72" s="4" t="s">
        <v>53</v>
      </c>
      <c r="F72" s="11"/>
    </row>
    <row r="73" spans="1:7" ht="14.25" customHeight="1" x14ac:dyDescent="0.2">
      <c r="A73" s="4" t="s">
        <v>54</v>
      </c>
      <c r="B73" s="8">
        <v>224</v>
      </c>
      <c r="C73" s="7" t="s">
        <v>11</v>
      </c>
      <c r="D73" s="4"/>
      <c r="E73" s="4" t="s">
        <v>53</v>
      </c>
      <c r="F73" s="11"/>
    </row>
    <row r="74" spans="1:7" ht="14.25" customHeight="1" x14ac:dyDescent="0.2">
      <c r="A74" s="4" t="s">
        <v>55</v>
      </c>
      <c r="B74" s="8">
        <v>139</v>
      </c>
      <c r="C74" s="6" t="s">
        <v>6</v>
      </c>
      <c r="D74" s="4"/>
      <c r="E74" s="4" t="s">
        <v>53</v>
      </c>
      <c r="F74" s="11"/>
    </row>
    <row r="75" spans="1:7" ht="14.25" customHeight="1" x14ac:dyDescent="0.2">
      <c r="A75" s="4" t="s">
        <v>59</v>
      </c>
      <c r="B75" s="8">
        <v>135</v>
      </c>
      <c r="C75" s="7" t="s">
        <v>11</v>
      </c>
      <c r="D75" s="4" t="s">
        <v>18</v>
      </c>
      <c r="E75" s="4" t="s">
        <v>53</v>
      </c>
      <c r="F75" s="11" t="s">
        <v>60</v>
      </c>
      <c r="G75" t="s">
        <v>61</v>
      </c>
    </row>
    <row r="76" spans="1:7" ht="14.25" customHeight="1" x14ac:dyDescent="0.2">
      <c r="A76" s="4" t="s">
        <v>56</v>
      </c>
      <c r="B76" s="8">
        <v>77</v>
      </c>
      <c r="C76" s="6" t="s">
        <v>6</v>
      </c>
      <c r="D76" s="4"/>
      <c r="E76" s="4" t="s">
        <v>53</v>
      </c>
      <c r="F76" s="11"/>
    </row>
    <row r="77" spans="1:7" ht="14.25" customHeight="1" x14ac:dyDescent="0.2">
      <c r="A77" s="4" t="s">
        <v>52</v>
      </c>
      <c r="B77" s="8">
        <v>13</v>
      </c>
      <c r="C77" s="7" t="s">
        <v>11</v>
      </c>
      <c r="D77" s="4"/>
      <c r="E77" s="4" t="s">
        <v>53</v>
      </c>
    </row>
    <row r="78" spans="1:7" ht="14.25" customHeight="1" x14ac:dyDescent="0.2">
      <c r="A78" s="4" t="s">
        <v>54</v>
      </c>
      <c r="B78" s="8">
        <v>6</v>
      </c>
      <c r="C78" s="7" t="s">
        <v>11</v>
      </c>
      <c r="D78" s="4"/>
      <c r="E78" s="4" t="s">
        <v>53</v>
      </c>
    </row>
    <row r="79" spans="1:7" ht="14.25" customHeight="1" x14ac:dyDescent="0.2">
      <c r="A79" s="4" t="s">
        <v>55</v>
      </c>
      <c r="B79" s="8">
        <v>9</v>
      </c>
      <c r="C79" s="6" t="s">
        <v>6</v>
      </c>
      <c r="D79" s="4"/>
      <c r="E79" s="4" t="s">
        <v>53</v>
      </c>
    </row>
    <row r="80" spans="1:7" ht="14.25" customHeight="1" x14ac:dyDescent="0.2">
      <c r="A80" s="4" t="s">
        <v>57</v>
      </c>
      <c r="B80" s="8">
        <v>4</v>
      </c>
      <c r="C80" s="6" t="s">
        <v>6</v>
      </c>
      <c r="D80" s="4"/>
      <c r="E80" s="4" t="s">
        <v>53</v>
      </c>
    </row>
    <row r="81" spans="1:6" ht="14.25" customHeight="1" x14ac:dyDescent="0.2">
      <c r="A81" s="4" t="s">
        <v>62</v>
      </c>
      <c r="B81" s="8">
        <v>49</v>
      </c>
      <c r="C81" s="6" t="s">
        <v>6</v>
      </c>
      <c r="D81" s="4"/>
      <c r="E81" s="4" t="s">
        <v>53</v>
      </c>
    </row>
    <row r="82" spans="1:6" ht="14.25" customHeight="1" x14ac:dyDescent="0.2">
      <c r="A82" s="4" t="s">
        <v>56</v>
      </c>
      <c r="B82" s="8">
        <v>27</v>
      </c>
      <c r="C82" s="6" t="s">
        <v>6</v>
      </c>
      <c r="D82" s="4"/>
      <c r="E82" s="4" t="s">
        <v>53</v>
      </c>
    </row>
    <row r="83" spans="1:6" ht="14.25" customHeight="1" x14ac:dyDescent="0.2">
      <c r="A83" s="4" t="s">
        <v>52</v>
      </c>
      <c r="B83" s="8">
        <v>265</v>
      </c>
      <c r="C83" s="7" t="s">
        <v>11</v>
      </c>
      <c r="D83" s="4"/>
      <c r="E83" s="4" t="s">
        <v>53</v>
      </c>
    </row>
    <row r="84" spans="1:6" ht="14.25" customHeight="1" x14ac:dyDescent="0.2">
      <c r="A84" s="4" t="s">
        <v>57</v>
      </c>
      <c r="B84" s="8">
        <v>59</v>
      </c>
      <c r="C84" s="6" t="s">
        <v>6</v>
      </c>
      <c r="D84" s="4"/>
      <c r="E84" s="4" t="s">
        <v>53</v>
      </c>
    </row>
    <row r="85" spans="1:6" ht="14.25" customHeight="1" x14ac:dyDescent="0.2">
      <c r="A85" s="4" t="s">
        <v>62</v>
      </c>
      <c r="B85" s="8">
        <v>77</v>
      </c>
      <c r="C85" s="6" t="s">
        <v>6</v>
      </c>
      <c r="D85" s="4"/>
      <c r="E85" s="4" t="s">
        <v>53</v>
      </c>
    </row>
    <row r="86" spans="1:6" ht="14.25" customHeight="1" x14ac:dyDescent="0.2">
      <c r="A86" s="4" t="s">
        <v>59</v>
      </c>
      <c r="B86" s="8">
        <v>49</v>
      </c>
      <c r="C86" s="7" t="s">
        <v>11</v>
      </c>
      <c r="D86" s="4" t="s">
        <v>18</v>
      </c>
      <c r="E86" s="4" t="s">
        <v>53</v>
      </c>
      <c r="F86" t="s">
        <v>63</v>
      </c>
    </row>
    <row r="87" spans="1:6" ht="14.25" hidden="1" customHeight="1" x14ac:dyDescent="0.2">
      <c r="A87" s="4" t="s">
        <v>64</v>
      </c>
      <c r="B87" s="5">
        <v>18</v>
      </c>
      <c r="C87" s="7" t="s">
        <v>11</v>
      </c>
      <c r="D87" s="4" t="s">
        <v>18</v>
      </c>
      <c r="E87" s="4" t="s">
        <v>65</v>
      </c>
      <c r="F87" t="s">
        <v>19</v>
      </c>
    </row>
    <row r="88" spans="1:6" ht="14.25" hidden="1" customHeight="1" x14ac:dyDescent="0.2">
      <c r="A88" s="4" t="s">
        <v>66</v>
      </c>
      <c r="B88" s="5">
        <v>5</v>
      </c>
      <c r="C88" s="6" t="s">
        <v>6</v>
      </c>
      <c r="D88" s="4"/>
      <c r="E88" s="4" t="s">
        <v>65</v>
      </c>
    </row>
    <row r="89" spans="1:6" ht="14.25" hidden="1" customHeight="1" x14ac:dyDescent="0.2">
      <c r="A89" s="4" t="s">
        <v>67</v>
      </c>
      <c r="B89" s="5">
        <v>34</v>
      </c>
      <c r="C89" s="6" t="s">
        <v>6</v>
      </c>
      <c r="D89" s="4"/>
      <c r="E89" s="4" t="s">
        <v>65</v>
      </c>
    </row>
    <row r="90" spans="1:6" ht="14.25" hidden="1" customHeight="1" x14ac:dyDescent="0.2">
      <c r="A90" s="4" t="s">
        <v>68</v>
      </c>
      <c r="B90" s="5">
        <v>18</v>
      </c>
      <c r="C90" s="7" t="s">
        <v>11</v>
      </c>
      <c r="D90" s="4"/>
      <c r="E90" s="4" t="s">
        <v>65</v>
      </c>
    </row>
    <row r="91" spans="1:6" ht="14.25" hidden="1" customHeight="1" x14ac:dyDescent="0.2">
      <c r="A91" s="4" t="s">
        <v>66</v>
      </c>
      <c r="B91" s="5">
        <v>7</v>
      </c>
      <c r="C91" s="6" t="s">
        <v>6</v>
      </c>
      <c r="D91" s="4"/>
      <c r="E91" s="4" t="s">
        <v>65</v>
      </c>
    </row>
    <row r="92" spans="1:6" ht="14.25" hidden="1" customHeight="1" x14ac:dyDescent="0.2">
      <c r="A92" s="4" t="s">
        <v>69</v>
      </c>
      <c r="B92" s="5">
        <v>23</v>
      </c>
      <c r="C92" s="6" t="s">
        <v>6</v>
      </c>
      <c r="D92" s="4"/>
      <c r="E92" s="4" t="s">
        <v>65</v>
      </c>
    </row>
    <row r="93" spans="1:6" ht="14.25" hidden="1" customHeight="1" x14ac:dyDescent="0.2">
      <c r="A93" s="4" t="s">
        <v>64</v>
      </c>
      <c r="B93" s="5">
        <v>89</v>
      </c>
      <c r="C93" s="7" t="s">
        <v>11</v>
      </c>
      <c r="D93" s="4" t="s">
        <v>18</v>
      </c>
      <c r="E93" s="4" t="s">
        <v>65</v>
      </c>
      <c r="F93" t="s">
        <v>19</v>
      </c>
    </row>
    <row r="94" spans="1:6" ht="14.25" hidden="1" customHeight="1" x14ac:dyDescent="0.2">
      <c r="A94" s="4" t="s">
        <v>66</v>
      </c>
      <c r="B94" s="5">
        <v>27</v>
      </c>
      <c r="C94" s="6" t="s">
        <v>6</v>
      </c>
      <c r="D94" s="4"/>
      <c r="E94" s="4" t="s">
        <v>65</v>
      </c>
    </row>
    <row r="95" spans="1:6" ht="14.25" hidden="1" customHeight="1" x14ac:dyDescent="0.2">
      <c r="A95" s="4" t="s">
        <v>64</v>
      </c>
      <c r="B95" s="5">
        <v>14</v>
      </c>
      <c r="C95" s="7" t="s">
        <v>11</v>
      </c>
      <c r="D95" s="4" t="s">
        <v>18</v>
      </c>
      <c r="E95" s="4" t="s">
        <v>65</v>
      </c>
      <c r="F95" t="s">
        <v>19</v>
      </c>
    </row>
    <row r="96" spans="1:6" ht="14.25" hidden="1" customHeight="1" x14ac:dyDescent="0.2">
      <c r="A96" s="4" t="s">
        <v>70</v>
      </c>
      <c r="B96" s="5">
        <v>243</v>
      </c>
      <c r="C96" s="7" t="s">
        <v>11</v>
      </c>
      <c r="D96" s="4"/>
      <c r="E96" s="4" t="s">
        <v>65</v>
      </c>
    </row>
    <row r="97" spans="1:6" ht="14.25" hidden="1" customHeight="1" x14ac:dyDescent="0.2">
      <c r="A97" s="4" t="s">
        <v>71</v>
      </c>
      <c r="B97" s="5">
        <v>92</v>
      </c>
      <c r="C97" s="7" t="s">
        <v>11</v>
      </c>
      <c r="D97" s="4"/>
      <c r="E97" s="4" t="s">
        <v>65</v>
      </c>
    </row>
    <row r="98" spans="1:6" ht="14.25" hidden="1" customHeight="1" x14ac:dyDescent="0.2">
      <c r="A98" s="4" t="s">
        <v>67</v>
      </c>
      <c r="B98" s="5">
        <v>163</v>
      </c>
      <c r="C98" s="6" t="s">
        <v>6</v>
      </c>
      <c r="D98" s="4"/>
      <c r="E98" s="4" t="s">
        <v>65</v>
      </c>
    </row>
    <row r="99" spans="1:6" ht="14.25" hidden="1" customHeight="1" x14ac:dyDescent="0.2">
      <c r="A99" s="16" t="s">
        <v>537</v>
      </c>
      <c r="B99" s="5">
        <v>320</v>
      </c>
      <c r="C99" s="7" t="s">
        <v>11</v>
      </c>
      <c r="D99" s="4"/>
      <c r="E99" s="4" t="s">
        <v>65</v>
      </c>
      <c r="F99" s="17" t="s">
        <v>536</v>
      </c>
    </row>
    <row r="100" spans="1:6" ht="14.25" hidden="1" customHeight="1" x14ac:dyDescent="0.2">
      <c r="A100" s="16" t="s">
        <v>546</v>
      </c>
      <c r="B100" s="5">
        <v>127</v>
      </c>
      <c r="C100" s="7" t="s">
        <v>11</v>
      </c>
      <c r="D100" s="4"/>
      <c r="E100" s="4" t="s">
        <v>65</v>
      </c>
      <c r="F100" s="17" t="s">
        <v>540</v>
      </c>
    </row>
    <row r="101" spans="1:6" ht="14.25" hidden="1" customHeight="1" x14ac:dyDescent="0.2">
      <c r="A101" s="16" t="s">
        <v>545</v>
      </c>
      <c r="B101" s="5">
        <v>77</v>
      </c>
      <c r="C101" s="7" t="s">
        <v>11</v>
      </c>
      <c r="D101" s="4"/>
      <c r="E101" s="4" t="s">
        <v>65</v>
      </c>
      <c r="F101" s="17" t="s">
        <v>543</v>
      </c>
    </row>
    <row r="102" spans="1:6" ht="14.25" hidden="1" customHeight="1" x14ac:dyDescent="0.2">
      <c r="A102" s="4" t="s">
        <v>72</v>
      </c>
      <c r="B102" s="5">
        <v>667</v>
      </c>
      <c r="C102" s="7" t="s">
        <v>11</v>
      </c>
      <c r="D102" s="4" t="s">
        <v>73</v>
      </c>
      <c r="E102" s="4" t="s">
        <v>65</v>
      </c>
      <c r="F102" t="s">
        <v>63</v>
      </c>
    </row>
    <row r="103" spans="1:6" ht="14.25" hidden="1" customHeight="1" x14ac:dyDescent="0.2">
      <c r="A103" s="4" t="s">
        <v>74</v>
      </c>
      <c r="B103" s="5">
        <v>510</v>
      </c>
      <c r="C103" s="7" t="s">
        <v>11</v>
      </c>
      <c r="D103" s="4"/>
      <c r="E103" s="4" t="s">
        <v>65</v>
      </c>
    </row>
    <row r="104" spans="1:6" ht="14.25" hidden="1" customHeight="1" x14ac:dyDescent="0.2">
      <c r="A104" s="4" t="s">
        <v>75</v>
      </c>
      <c r="B104" s="5">
        <v>1316</v>
      </c>
      <c r="C104" s="7" t="s">
        <v>11</v>
      </c>
      <c r="D104" s="4" t="s">
        <v>76</v>
      </c>
      <c r="E104" s="4" t="s">
        <v>65</v>
      </c>
      <c r="F104" t="s">
        <v>77</v>
      </c>
    </row>
    <row r="105" spans="1:6" ht="14.25" hidden="1" customHeight="1" x14ac:dyDescent="0.2">
      <c r="A105" s="4" t="s">
        <v>74</v>
      </c>
      <c r="B105" s="5">
        <v>1131</v>
      </c>
      <c r="C105" s="7" t="s">
        <v>11</v>
      </c>
      <c r="D105" s="4"/>
      <c r="E105" s="4" t="s">
        <v>65</v>
      </c>
    </row>
    <row r="106" spans="1:6" ht="14.25" hidden="1" customHeight="1" x14ac:dyDescent="0.2">
      <c r="A106" s="4" t="s">
        <v>78</v>
      </c>
      <c r="B106" s="5">
        <v>468</v>
      </c>
      <c r="C106" s="7" t="s">
        <v>11</v>
      </c>
      <c r="D106" s="4"/>
      <c r="E106" s="4" t="s">
        <v>65</v>
      </c>
    </row>
    <row r="107" spans="1:6" ht="14.25" hidden="1" customHeight="1" x14ac:dyDescent="0.2">
      <c r="A107" s="4" t="s">
        <v>79</v>
      </c>
      <c r="B107" s="5">
        <v>118</v>
      </c>
      <c r="C107" s="7" t="s">
        <v>11</v>
      </c>
      <c r="D107" s="4" t="s">
        <v>76</v>
      </c>
      <c r="E107" s="4" t="s">
        <v>80</v>
      </c>
      <c r="F107" t="s">
        <v>43</v>
      </c>
    </row>
    <row r="108" spans="1:6" ht="14.25" hidden="1" customHeight="1" x14ac:dyDescent="0.2">
      <c r="A108" s="4" t="s">
        <v>81</v>
      </c>
      <c r="B108" s="5">
        <v>20</v>
      </c>
      <c r="C108" s="7" t="s">
        <v>11</v>
      </c>
      <c r="D108" s="4" t="s">
        <v>76</v>
      </c>
      <c r="E108" s="4" t="s">
        <v>80</v>
      </c>
      <c r="F108" t="s">
        <v>43</v>
      </c>
    </row>
    <row r="109" spans="1:6" ht="14.25" hidden="1" customHeight="1" x14ac:dyDescent="0.2">
      <c r="A109" s="4" t="s">
        <v>82</v>
      </c>
      <c r="B109" s="5">
        <v>30</v>
      </c>
      <c r="C109" s="6" t="s">
        <v>6</v>
      </c>
      <c r="D109" s="4" t="s">
        <v>76</v>
      </c>
      <c r="E109" s="4" t="s">
        <v>80</v>
      </c>
      <c r="F109" t="s">
        <v>43</v>
      </c>
    </row>
    <row r="110" spans="1:6" ht="14.25" hidden="1" customHeight="1" x14ac:dyDescent="0.2">
      <c r="A110" s="4" t="s">
        <v>83</v>
      </c>
      <c r="B110" s="5">
        <v>127</v>
      </c>
      <c r="C110" s="7" t="s">
        <v>11</v>
      </c>
      <c r="D110" s="4" t="s">
        <v>18</v>
      </c>
      <c r="E110" s="4" t="s">
        <v>80</v>
      </c>
      <c r="F110" t="s">
        <v>77</v>
      </c>
    </row>
    <row r="111" spans="1:6" ht="14.25" hidden="1" customHeight="1" x14ac:dyDescent="0.2">
      <c r="A111" s="4" t="s">
        <v>78</v>
      </c>
      <c r="B111" s="5">
        <v>119</v>
      </c>
      <c r="C111" s="7" t="s">
        <v>11</v>
      </c>
      <c r="D111" s="4"/>
      <c r="E111" s="4" t="s">
        <v>80</v>
      </c>
    </row>
    <row r="112" spans="1:6" ht="14.25" hidden="1" customHeight="1" x14ac:dyDescent="0.2">
      <c r="A112" s="4" t="s">
        <v>84</v>
      </c>
      <c r="B112" s="5">
        <v>21</v>
      </c>
      <c r="C112" s="7" t="s">
        <v>11</v>
      </c>
      <c r="D112" s="4" t="s">
        <v>18</v>
      </c>
      <c r="E112" s="4" t="s">
        <v>80</v>
      </c>
      <c r="F112" t="s">
        <v>77</v>
      </c>
    </row>
    <row r="113" spans="1:6" ht="14.25" hidden="1" customHeight="1" x14ac:dyDescent="0.2">
      <c r="A113" s="4" t="s">
        <v>85</v>
      </c>
      <c r="B113" s="5">
        <v>52</v>
      </c>
      <c r="C113" s="7" t="s">
        <v>11</v>
      </c>
      <c r="D113" s="4"/>
      <c r="E113" s="4" t="s">
        <v>80</v>
      </c>
    </row>
    <row r="114" spans="1:6" ht="14.25" hidden="1" customHeight="1" x14ac:dyDescent="0.2">
      <c r="A114" s="4" t="s">
        <v>86</v>
      </c>
      <c r="B114" s="5">
        <v>9</v>
      </c>
      <c r="C114" s="7" t="s">
        <v>11</v>
      </c>
      <c r="D114" s="4" t="s">
        <v>76</v>
      </c>
      <c r="E114" s="4" t="s">
        <v>80</v>
      </c>
      <c r="F114" t="s">
        <v>43</v>
      </c>
    </row>
    <row r="115" spans="1:6" ht="14.25" hidden="1" customHeight="1" x14ac:dyDescent="0.2">
      <c r="A115" s="4" t="s">
        <v>87</v>
      </c>
      <c r="B115" s="5">
        <v>29</v>
      </c>
      <c r="C115" s="7" t="s">
        <v>11</v>
      </c>
      <c r="D115" s="4"/>
      <c r="E115" s="4" t="s">
        <v>80</v>
      </c>
    </row>
    <row r="116" spans="1:6" ht="14.25" hidden="1" customHeight="1" x14ac:dyDescent="0.2">
      <c r="A116" s="4" t="s">
        <v>85</v>
      </c>
      <c r="B116" s="5">
        <v>153</v>
      </c>
      <c r="C116" s="7" t="s">
        <v>11</v>
      </c>
      <c r="D116" s="4"/>
      <c r="E116" s="4" t="s">
        <v>80</v>
      </c>
    </row>
    <row r="117" spans="1:6" ht="14.25" hidden="1" customHeight="1" x14ac:dyDescent="0.2">
      <c r="A117" s="16" t="s">
        <v>542</v>
      </c>
      <c r="B117" s="5">
        <v>88</v>
      </c>
      <c r="C117" s="7" t="s">
        <v>11</v>
      </c>
      <c r="D117" s="4"/>
      <c r="E117" s="4" t="s">
        <v>80</v>
      </c>
      <c r="F117" s="17" t="s">
        <v>540</v>
      </c>
    </row>
    <row r="118" spans="1:6" ht="14.25" hidden="1" customHeight="1" x14ac:dyDescent="0.2">
      <c r="A118" s="4" t="s">
        <v>79</v>
      </c>
      <c r="B118" s="5">
        <v>27</v>
      </c>
      <c r="C118" s="7" t="s">
        <v>11</v>
      </c>
      <c r="D118" s="4" t="s">
        <v>76</v>
      </c>
      <c r="E118" s="4" t="s">
        <v>80</v>
      </c>
      <c r="F118" t="s">
        <v>43</v>
      </c>
    </row>
    <row r="119" spans="1:6" ht="14.25" hidden="1" customHeight="1" x14ac:dyDescent="0.2">
      <c r="A119" s="4" t="s">
        <v>79</v>
      </c>
      <c r="B119" s="5">
        <v>226</v>
      </c>
      <c r="C119" s="7" t="s">
        <v>11</v>
      </c>
      <c r="D119" s="4" t="s">
        <v>76</v>
      </c>
      <c r="E119" s="4" t="s">
        <v>80</v>
      </c>
      <c r="F119" t="s">
        <v>43</v>
      </c>
    </row>
    <row r="120" spans="1:6" ht="14.25" hidden="1" customHeight="1" x14ac:dyDescent="0.2">
      <c r="A120" s="4" t="s">
        <v>89</v>
      </c>
      <c r="B120" s="5">
        <v>90</v>
      </c>
      <c r="C120" s="7" t="s">
        <v>11</v>
      </c>
      <c r="D120" s="4"/>
      <c r="E120" s="4" t="s">
        <v>80</v>
      </c>
    </row>
    <row r="121" spans="1:6" ht="14.25" hidden="1" customHeight="1" x14ac:dyDescent="0.2">
      <c r="A121" s="16" t="s">
        <v>539</v>
      </c>
      <c r="B121" s="5">
        <v>436</v>
      </c>
      <c r="C121" s="7" t="s">
        <v>11</v>
      </c>
      <c r="D121" s="4"/>
      <c r="E121" s="4" t="s">
        <v>80</v>
      </c>
      <c r="F121" t="s">
        <v>29</v>
      </c>
    </row>
    <row r="122" spans="1:6" ht="14.25" hidden="1" customHeight="1" x14ac:dyDescent="0.2">
      <c r="A122" s="4" t="s">
        <v>17</v>
      </c>
      <c r="B122" s="5">
        <v>17</v>
      </c>
      <c r="C122" s="7" t="s">
        <v>11</v>
      </c>
      <c r="D122" s="4" t="s">
        <v>18</v>
      </c>
      <c r="E122" s="4" t="s">
        <v>80</v>
      </c>
      <c r="F122" t="s">
        <v>63</v>
      </c>
    </row>
    <row r="123" spans="1:6" ht="14.25" hidden="1" customHeight="1" x14ac:dyDescent="0.2">
      <c r="A123" s="4" t="s">
        <v>64</v>
      </c>
      <c r="B123" s="5">
        <v>93</v>
      </c>
      <c r="C123" s="7" t="s">
        <v>11</v>
      </c>
      <c r="D123" s="4" t="s">
        <v>18</v>
      </c>
      <c r="E123" s="4" t="s">
        <v>80</v>
      </c>
      <c r="F123" t="s">
        <v>63</v>
      </c>
    </row>
    <row r="124" spans="1:6" ht="14.25" hidden="1" customHeight="1" x14ac:dyDescent="0.2">
      <c r="A124" s="4" t="s">
        <v>79</v>
      </c>
      <c r="B124" s="5">
        <v>28</v>
      </c>
      <c r="C124" s="7" t="s">
        <v>11</v>
      </c>
      <c r="D124" s="4" t="s">
        <v>76</v>
      </c>
      <c r="E124" s="4" t="s">
        <v>80</v>
      </c>
      <c r="F124" t="s">
        <v>43</v>
      </c>
    </row>
    <row r="125" spans="1:6" ht="14.25" hidden="1" customHeight="1" x14ac:dyDescent="0.2">
      <c r="A125" s="4" t="s">
        <v>84</v>
      </c>
      <c r="B125" s="5">
        <v>103</v>
      </c>
      <c r="C125" s="7" t="s">
        <v>11</v>
      </c>
      <c r="D125" s="4" t="s">
        <v>18</v>
      </c>
      <c r="E125" s="4" t="s">
        <v>80</v>
      </c>
      <c r="F125" t="s">
        <v>43</v>
      </c>
    </row>
    <row r="126" spans="1:6" ht="14.25" hidden="1" customHeight="1" x14ac:dyDescent="0.2">
      <c r="A126" s="4" t="s">
        <v>91</v>
      </c>
      <c r="B126" s="5">
        <v>43</v>
      </c>
      <c r="C126" s="7" t="s">
        <v>11</v>
      </c>
      <c r="D126" s="4"/>
      <c r="E126" s="4" t="s">
        <v>80</v>
      </c>
    </row>
    <row r="127" spans="1:6" ht="14.25" hidden="1" customHeight="1" x14ac:dyDescent="0.2">
      <c r="A127" s="4" t="s">
        <v>59</v>
      </c>
      <c r="B127" s="5">
        <v>89</v>
      </c>
      <c r="C127" s="7" t="s">
        <v>11</v>
      </c>
      <c r="D127" s="4" t="s">
        <v>18</v>
      </c>
      <c r="E127" s="4" t="s">
        <v>80</v>
      </c>
      <c r="F127" t="s">
        <v>63</v>
      </c>
    </row>
    <row r="128" spans="1:6" ht="14.25" hidden="1" customHeight="1" x14ac:dyDescent="0.2">
      <c r="A128" s="4" t="s">
        <v>92</v>
      </c>
      <c r="B128" s="5">
        <v>324</v>
      </c>
      <c r="C128" s="7" t="s">
        <v>11</v>
      </c>
      <c r="D128" s="4"/>
      <c r="E128" s="4" t="s">
        <v>80</v>
      </c>
    </row>
    <row r="129" spans="1:7" ht="14.25" hidden="1" customHeight="1" x14ac:dyDescent="0.2">
      <c r="A129" t="s">
        <v>94</v>
      </c>
      <c r="B129" s="5">
        <v>373</v>
      </c>
      <c r="C129" s="7" t="s">
        <v>11</v>
      </c>
      <c r="D129" s="4" t="s">
        <v>93</v>
      </c>
      <c r="E129" s="4" t="s">
        <v>80</v>
      </c>
      <c r="F129" t="s">
        <v>94</v>
      </c>
    </row>
    <row r="130" spans="1:7" ht="14.25" hidden="1" customHeight="1" x14ac:dyDescent="0.2">
      <c r="A130" s="4" t="s">
        <v>90</v>
      </c>
      <c r="B130" s="5">
        <v>92</v>
      </c>
      <c r="C130" s="7" t="s">
        <v>11</v>
      </c>
      <c r="D130" s="4" t="s">
        <v>18</v>
      </c>
      <c r="E130" s="4" t="s">
        <v>95</v>
      </c>
      <c r="F130" s="12" t="s">
        <v>63</v>
      </c>
    </row>
    <row r="131" spans="1:7" ht="14.25" hidden="1" customHeight="1" x14ac:dyDescent="0.2">
      <c r="A131" s="4" t="s">
        <v>87</v>
      </c>
      <c r="B131" s="5">
        <v>19</v>
      </c>
      <c r="C131" s="7" t="s">
        <v>11</v>
      </c>
      <c r="D131" s="4"/>
      <c r="E131" s="4" t="s">
        <v>95</v>
      </c>
      <c r="F131" s="11"/>
    </row>
    <row r="132" spans="1:7" ht="14.25" hidden="1" customHeight="1" x14ac:dyDescent="0.2">
      <c r="A132" s="4" t="s">
        <v>90</v>
      </c>
      <c r="B132" s="5">
        <v>47</v>
      </c>
      <c r="C132" s="7" t="s">
        <v>11</v>
      </c>
      <c r="D132" s="4" t="s">
        <v>18</v>
      </c>
      <c r="E132" s="4" t="s">
        <v>95</v>
      </c>
      <c r="F132" s="11" t="s">
        <v>63</v>
      </c>
    </row>
    <row r="133" spans="1:7" ht="14.25" hidden="1" customHeight="1" x14ac:dyDescent="0.2">
      <c r="A133" s="4" t="s">
        <v>90</v>
      </c>
      <c r="B133" s="5">
        <v>37</v>
      </c>
      <c r="C133" s="7" t="s">
        <v>11</v>
      </c>
      <c r="D133" s="4" t="s">
        <v>18</v>
      </c>
      <c r="E133" s="4" t="s">
        <v>95</v>
      </c>
      <c r="F133" s="11" t="s">
        <v>96</v>
      </c>
    </row>
    <row r="134" spans="1:7" ht="14.25" hidden="1" customHeight="1" x14ac:dyDescent="0.2">
      <c r="A134" s="4" t="s">
        <v>64</v>
      </c>
      <c r="B134" s="5">
        <v>35</v>
      </c>
      <c r="C134" s="7" t="s">
        <v>11</v>
      </c>
      <c r="D134" s="4" t="s">
        <v>18</v>
      </c>
      <c r="E134" s="4" t="s">
        <v>95</v>
      </c>
      <c r="F134" s="11" t="s">
        <v>96</v>
      </c>
    </row>
    <row r="135" spans="1:7" ht="14.25" hidden="1" customHeight="1" x14ac:dyDescent="0.2">
      <c r="A135" s="4" t="s">
        <v>64</v>
      </c>
      <c r="B135" s="5">
        <v>248</v>
      </c>
      <c r="C135" s="7" t="s">
        <v>11</v>
      </c>
      <c r="D135" s="4" t="s">
        <v>18</v>
      </c>
      <c r="E135" s="4" t="s">
        <v>95</v>
      </c>
      <c r="F135" s="11" t="s">
        <v>96</v>
      </c>
    </row>
    <row r="136" spans="1:7" ht="14.25" hidden="1" customHeight="1" x14ac:dyDescent="0.2">
      <c r="A136" s="4" t="s">
        <v>17</v>
      </c>
      <c r="B136" s="5">
        <v>259</v>
      </c>
      <c r="C136" s="7" t="s">
        <v>11</v>
      </c>
      <c r="D136" s="4" t="s">
        <v>18</v>
      </c>
      <c r="E136" s="4" t="s">
        <v>95</v>
      </c>
      <c r="F136" s="11" t="s">
        <v>96</v>
      </c>
    </row>
    <row r="137" spans="1:7" ht="14.25" hidden="1" customHeight="1" x14ac:dyDescent="0.2">
      <c r="A137" s="4" t="s">
        <v>17</v>
      </c>
      <c r="B137" s="5">
        <v>229</v>
      </c>
      <c r="C137" s="7" t="s">
        <v>11</v>
      </c>
      <c r="D137" s="4" t="s">
        <v>18</v>
      </c>
      <c r="E137" s="4" t="s">
        <v>95</v>
      </c>
      <c r="F137" s="11" t="s">
        <v>96</v>
      </c>
    </row>
    <row r="138" spans="1:7" ht="14.25" hidden="1" customHeight="1" x14ac:dyDescent="0.2">
      <c r="A138" s="4" t="s">
        <v>88</v>
      </c>
      <c r="B138" s="5">
        <v>28</v>
      </c>
      <c r="C138" s="7" t="s">
        <v>11</v>
      </c>
      <c r="D138" s="4" t="s">
        <v>18</v>
      </c>
      <c r="E138" s="4" t="s">
        <v>95</v>
      </c>
      <c r="F138" s="11" t="s">
        <v>77</v>
      </c>
    </row>
    <row r="139" spans="1:7" ht="14.25" hidden="1" customHeight="1" x14ac:dyDescent="0.2">
      <c r="A139" s="4" t="s">
        <v>85</v>
      </c>
      <c r="B139" s="5">
        <v>30</v>
      </c>
      <c r="C139" s="7" t="s">
        <v>11</v>
      </c>
      <c r="D139" s="4"/>
      <c r="E139" s="4" t="s">
        <v>95</v>
      </c>
      <c r="F139" s="11"/>
    </row>
    <row r="140" spans="1:7" ht="14.25" hidden="1" customHeight="1" x14ac:dyDescent="0.2">
      <c r="A140" t="s">
        <v>94</v>
      </c>
      <c r="B140" s="5">
        <v>94</v>
      </c>
      <c r="C140" s="7" t="s">
        <v>11</v>
      </c>
      <c r="D140" s="4" t="s">
        <v>93</v>
      </c>
      <c r="E140" s="4" t="s">
        <v>95</v>
      </c>
      <c r="F140" s="11" t="s">
        <v>94</v>
      </c>
      <c r="G140" t="s">
        <v>97</v>
      </c>
    </row>
    <row r="141" spans="1:7" ht="14.25" hidden="1" customHeight="1" x14ac:dyDescent="0.2">
      <c r="A141" s="4" t="s">
        <v>42</v>
      </c>
      <c r="B141" s="5">
        <v>28</v>
      </c>
      <c r="C141" s="7" t="s">
        <v>11</v>
      </c>
      <c r="D141" s="4" t="s">
        <v>18</v>
      </c>
      <c r="E141" s="4" t="s">
        <v>95</v>
      </c>
      <c r="F141" t="s">
        <v>77</v>
      </c>
    </row>
    <row r="142" spans="1:7" ht="14.25" hidden="1" customHeight="1" x14ac:dyDescent="0.2">
      <c r="A142" s="4" t="s">
        <v>98</v>
      </c>
      <c r="B142" s="5">
        <v>158</v>
      </c>
      <c r="C142" s="7" t="s">
        <v>11</v>
      </c>
      <c r="D142" s="8" t="s">
        <v>18</v>
      </c>
      <c r="E142" s="4" t="s">
        <v>95</v>
      </c>
      <c r="F142" t="s">
        <v>99</v>
      </c>
    </row>
    <row r="143" spans="1:7" ht="14.25" hidden="1" customHeight="1" x14ac:dyDescent="0.2">
      <c r="A143" t="s">
        <v>94</v>
      </c>
      <c r="B143" s="5">
        <v>83</v>
      </c>
      <c r="C143" s="7" t="s">
        <v>11</v>
      </c>
      <c r="D143" s="8" t="s">
        <v>93</v>
      </c>
      <c r="E143" s="4" t="s">
        <v>95</v>
      </c>
      <c r="F143" t="s">
        <v>94</v>
      </c>
    </row>
    <row r="144" spans="1:7" ht="14.25" hidden="1" customHeight="1" x14ac:dyDescent="0.2">
      <c r="A144" s="4" t="s">
        <v>17</v>
      </c>
      <c r="B144" s="5">
        <v>252</v>
      </c>
      <c r="C144" s="7" t="s">
        <v>11</v>
      </c>
      <c r="D144" s="4" t="s">
        <v>18</v>
      </c>
      <c r="E144" s="4" t="s">
        <v>95</v>
      </c>
      <c r="F144" s="12" t="s">
        <v>96</v>
      </c>
    </row>
    <row r="145" spans="1:11" ht="14.25" hidden="1" customHeight="1" x14ac:dyDescent="0.2">
      <c r="A145" s="4" t="s">
        <v>59</v>
      </c>
      <c r="B145" s="5">
        <v>53</v>
      </c>
      <c r="C145" s="7" t="s">
        <v>11</v>
      </c>
      <c r="D145" s="4" t="s">
        <v>18</v>
      </c>
      <c r="E145" s="4" t="s">
        <v>95</v>
      </c>
      <c r="F145" s="11" t="s">
        <v>96</v>
      </c>
    </row>
    <row r="146" spans="1:11" ht="14.25" hidden="1" customHeight="1" x14ac:dyDescent="0.2">
      <c r="A146" s="4" t="s">
        <v>59</v>
      </c>
      <c r="B146" s="5">
        <v>72</v>
      </c>
      <c r="C146" s="7" t="s">
        <v>11</v>
      </c>
      <c r="D146" s="4" t="s">
        <v>18</v>
      </c>
      <c r="E146" s="4" t="s">
        <v>95</v>
      </c>
      <c r="F146" s="11" t="s">
        <v>77</v>
      </c>
    </row>
    <row r="147" spans="1:11" ht="14.25" hidden="1" customHeight="1" x14ac:dyDescent="0.2">
      <c r="A147" s="11" t="s">
        <v>101</v>
      </c>
      <c r="B147" s="5">
        <v>6</v>
      </c>
      <c r="C147" s="7" t="s">
        <v>11</v>
      </c>
      <c r="D147" s="4" t="s">
        <v>100</v>
      </c>
      <c r="E147" s="4" t="s">
        <v>95</v>
      </c>
      <c r="F147" s="11" t="s">
        <v>101</v>
      </c>
    </row>
    <row r="148" spans="1:11" ht="14.25" hidden="1" customHeight="1" x14ac:dyDescent="0.2">
      <c r="A148" s="11" t="s">
        <v>101</v>
      </c>
      <c r="B148" s="5">
        <v>3</v>
      </c>
      <c r="C148" s="7" t="s">
        <v>11</v>
      </c>
      <c r="D148" s="4" t="s">
        <v>100</v>
      </c>
      <c r="E148" s="4" t="s">
        <v>102</v>
      </c>
      <c r="F148" s="12" t="s">
        <v>101</v>
      </c>
    </row>
    <row r="149" spans="1:11" ht="14.25" hidden="1" customHeight="1" x14ac:dyDescent="0.2">
      <c r="A149" s="4" t="s">
        <v>103</v>
      </c>
      <c r="B149" s="5">
        <v>286</v>
      </c>
      <c r="C149" s="7" t="s">
        <v>11</v>
      </c>
      <c r="D149" s="4" t="s">
        <v>18</v>
      </c>
      <c r="E149" s="4" t="s">
        <v>102</v>
      </c>
      <c r="F149" s="11" t="s">
        <v>96</v>
      </c>
    </row>
    <row r="150" spans="1:11" ht="14.25" hidden="1" customHeight="1" x14ac:dyDescent="0.2">
      <c r="A150" s="11" t="s">
        <v>104</v>
      </c>
      <c r="B150" s="5">
        <v>78</v>
      </c>
      <c r="C150" s="7" t="s">
        <v>11</v>
      </c>
      <c r="D150" s="4" t="s">
        <v>93</v>
      </c>
      <c r="E150" s="4" t="s">
        <v>102</v>
      </c>
      <c r="F150" s="11" t="s">
        <v>104</v>
      </c>
    </row>
    <row r="151" spans="1:11" ht="14.25" hidden="1" customHeight="1" x14ac:dyDescent="0.2">
      <c r="A151" s="11" t="s">
        <v>105</v>
      </c>
      <c r="B151" s="5">
        <v>57</v>
      </c>
      <c r="C151" s="7" t="s">
        <v>11</v>
      </c>
      <c r="D151" s="4" t="s">
        <v>93</v>
      </c>
      <c r="E151" s="4" t="s">
        <v>102</v>
      </c>
      <c r="F151" s="11" t="s">
        <v>105</v>
      </c>
    </row>
    <row r="152" spans="1:11" ht="14.25" hidden="1" customHeight="1" x14ac:dyDescent="0.2">
      <c r="A152" s="4" t="s">
        <v>103</v>
      </c>
      <c r="B152" s="5">
        <v>16</v>
      </c>
      <c r="C152" s="7" t="s">
        <v>11</v>
      </c>
      <c r="D152" s="4" t="s">
        <v>18</v>
      </c>
      <c r="E152" s="4" t="s">
        <v>102</v>
      </c>
      <c r="F152" s="11" t="s">
        <v>105</v>
      </c>
      <c r="K152" t="s">
        <v>106</v>
      </c>
    </row>
    <row r="153" spans="1:11" ht="14.25" hidden="1" customHeight="1" x14ac:dyDescent="0.2">
      <c r="A153" s="4" t="s">
        <v>103</v>
      </c>
      <c r="B153" s="5">
        <v>238</v>
      </c>
      <c r="C153" s="7" t="s">
        <v>11</v>
      </c>
      <c r="D153" s="4" t="s">
        <v>18</v>
      </c>
      <c r="E153" s="4" t="s">
        <v>102</v>
      </c>
      <c r="F153" s="11" t="s">
        <v>96</v>
      </c>
    </row>
    <row r="154" spans="1:11" ht="14.25" hidden="1" customHeight="1" x14ac:dyDescent="0.2">
      <c r="A154" s="4" t="s">
        <v>107</v>
      </c>
      <c r="B154" s="5">
        <v>231</v>
      </c>
      <c r="C154" s="7" t="s">
        <v>11</v>
      </c>
      <c r="D154" s="4"/>
      <c r="E154" s="4" t="s">
        <v>102</v>
      </c>
      <c r="F154" s="11"/>
    </row>
    <row r="155" spans="1:11" ht="14.25" hidden="1" customHeight="1" x14ac:dyDescent="0.2">
      <c r="A155" s="4" t="s">
        <v>108</v>
      </c>
      <c r="B155" s="5">
        <v>37</v>
      </c>
      <c r="C155" s="7" t="s">
        <v>11</v>
      </c>
      <c r="D155" s="4" t="s">
        <v>18</v>
      </c>
      <c r="E155" s="4" t="s">
        <v>102</v>
      </c>
      <c r="F155" s="11" t="s">
        <v>96</v>
      </c>
    </row>
    <row r="156" spans="1:11" ht="14.25" hidden="1" customHeight="1" x14ac:dyDescent="0.2">
      <c r="A156" s="4" t="s">
        <v>74</v>
      </c>
      <c r="B156" s="5">
        <v>24</v>
      </c>
      <c r="C156" s="7" t="s">
        <v>11</v>
      </c>
      <c r="D156" s="4"/>
      <c r="E156" s="4" t="s">
        <v>102</v>
      </c>
      <c r="F156" s="11"/>
    </row>
    <row r="157" spans="1:11" ht="14.25" hidden="1" customHeight="1" x14ac:dyDescent="0.2">
      <c r="A157" s="4" t="s">
        <v>109</v>
      </c>
      <c r="B157" s="5">
        <v>118</v>
      </c>
      <c r="C157" s="6" t="s">
        <v>6</v>
      </c>
      <c r="D157" s="8" t="s">
        <v>18</v>
      </c>
      <c r="E157" s="4" t="s">
        <v>102</v>
      </c>
      <c r="F157" s="11" t="s">
        <v>96</v>
      </c>
    </row>
    <row r="158" spans="1:11" ht="14.25" hidden="1" customHeight="1" x14ac:dyDescent="0.2">
      <c r="A158" s="4" t="s">
        <v>110</v>
      </c>
      <c r="B158" s="5">
        <v>41</v>
      </c>
      <c r="C158" s="7" t="s">
        <v>11</v>
      </c>
      <c r="D158" s="4"/>
      <c r="E158" s="4" t="s">
        <v>102</v>
      </c>
      <c r="F158" s="11"/>
    </row>
    <row r="159" spans="1:11" ht="14.25" hidden="1" customHeight="1" x14ac:dyDescent="0.2">
      <c r="A159" s="4" t="s">
        <v>111</v>
      </c>
      <c r="B159" s="5">
        <v>29</v>
      </c>
      <c r="C159" s="7" t="s">
        <v>11</v>
      </c>
      <c r="D159" s="4" t="s">
        <v>18</v>
      </c>
      <c r="E159" s="4" t="s">
        <v>102</v>
      </c>
      <c r="F159" t="s">
        <v>96</v>
      </c>
    </row>
    <row r="160" spans="1:11" ht="14.25" hidden="1" customHeight="1" x14ac:dyDescent="0.2">
      <c r="A160" s="4" t="s">
        <v>112</v>
      </c>
      <c r="B160" s="5">
        <v>247</v>
      </c>
      <c r="C160" s="7" t="s">
        <v>11</v>
      </c>
      <c r="D160" s="4" t="s">
        <v>18</v>
      </c>
      <c r="E160" s="4" t="s">
        <v>102</v>
      </c>
      <c r="F160" t="s">
        <v>96</v>
      </c>
    </row>
    <row r="161" spans="1:6" ht="14.25" hidden="1" customHeight="1" x14ac:dyDescent="0.2">
      <c r="A161" s="4" t="s">
        <v>113</v>
      </c>
      <c r="B161" s="5">
        <v>78</v>
      </c>
      <c r="C161" s="7" t="s">
        <v>11</v>
      </c>
      <c r="D161" s="4"/>
      <c r="E161" s="4" t="s">
        <v>102</v>
      </c>
    </row>
    <row r="162" spans="1:6" ht="14.25" hidden="1" customHeight="1" x14ac:dyDescent="0.2">
      <c r="A162" t="s">
        <v>104</v>
      </c>
      <c r="B162" s="5">
        <v>102</v>
      </c>
      <c r="C162" s="7" t="s">
        <v>11</v>
      </c>
      <c r="D162" s="4" t="s">
        <v>93</v>
      </c>
      <c r="E162" s="4" t="s">
        <v>102</v>
      </c>
      <c r="F162" t="s">
        <v>104</v>
      </c>
    </row>
    <row r="163" spans="1:6" ht="14.25" hidden="1" customHeight="1" x14ac:dyDescent="0.2">
      <c r="A163" s="4" t="s">
        <v>114</v>
      </c>
      <c r="B163" s="5">
        <v>18</v>
      </c>
      <c r="C163" s="7" t="s">
        <v>11</v>
      </c>
      <c r="D163" s="4" t="s">
        <v>18</v>
      </c>
      <c r="E163" s="4" t="s">
        <v>102</v>
      </c>
      <c r="F163" t="s">
        <v>96</v>
      </c>
    </row>
    <row r="164" spans="1:6" ht="14.25" hidden="1" customHeight="1" x14ac:dyDescent="0.2">
      <c r="A164" s="4" t="s">
        <v>74</v>
      </c>
      <c r="B164" s="5">
        <v>248</v>
      </c>
      <c r="C164" s="7" t="s">
        <v>11</v>
      </c>
      <c r="D164" s="4"/>
      <c r="E164" s="4" t="s">
        <v>102</v>
      </c>
    </row>
    <row r="165" spans="1:6" ht="14.25" hidden="1" customHeight="1" x14ac:dyDescent="0.2">
      <c r="A165" t="s">
        <v>96</v>
      </c>
      <c r="B165" s="5">
        <v>112</v>
      </c>
      <c r="C165" s="7" t="s">
        <v>11</v>
      </c>
      <c r="D165" s="4" t="s">
        <v>93</v>
      </c>
      <c r="E165" s="4" t="s">
        <v>102</v>
      </c>
      <c r="F165" t="s">
        <v>96</v>
      </c>
    </row>
    <row r="166" spans="1:6" ht="14.25" hidden="1" customHeight="1" x14ac:dyDescent="0.2">
      <c r="A166" s="4" t="s">
        <v>59</v>
      </c>
      <c r="B166" s="5">
        <v>218</v>
      </c>
      <c r="C166" s="7" t="s">
        <v>11</v>
      </c>
      <c r="D166" s="4" t="s">
        <v>18</v>
      </c>
      <c r="E166" s="4" t="s">
        <v>102</v>
      </c>
      <c r="F166" t="s">
        <v>96</v>
      </c>
    </row>
    <row r="167" spans="1:6" ht="14.25" hidden="1" customHeight="1" x14ac:dyDescent="0.2">
      <c r="A167" s="4" t="s">
        <v>112</v>
      </c>
      <c r="B167" s="5">
        <v>70</v>
      </c>
      <c r="C167" s="7" t="s">
        <v>11</v>
      </c>
      <c r="D167" s="4" t="s">
        <v>18</v>
      </c>
      <c r="E167" s="4" t="s">
        <v>102</v>
      </c>
      <c r="F167" t="s">
        <v>96</v>
      </c>
    </row>
    <row r="168" spans="1:6" ht="14.25" hidden="1" customHeight="1" x14ac:dyDescent="0.2">
      <c r="A168" s="4" t="s">
        <v>112</v>
      </c>
      <c r="B168" s="5">
        <v>7</v>
      </c>
      <c r="C168" s="7" t="s">
        <v>11</v>
      </c>
      <c r="D168" s="4" t="s">
        <v>18</v>
      </c>
      <c r="E168" s="4" t="s">
        <v>102</v>
      </c>
      <c r="F168" t="s">
        <v>96</v>
      </c>
    </row>
    <row r="169" spans="1:6" ht="14.25" hidden="1" customHeight="1" x14ac:dyDescent="0.2">
      <c r="A169" t="s">
        <v>94</v>
      </c>
      <c r="B169" s="5">
        <v>267</v>
      </c>
      <c r="C169" s="7" t="s">
        <v>11</v>
      </c>
      <c r="D169" s="4" t="s">
        <v>93</v>
      </c>
      <c r="E169" s="4" t="s">
        <v>102</v>
      </c>
      <c r="F169" t="s">
        <v>94</v>
      </c>
    </row>
    <row r="170" spans="1:6" ht="14.25" hidden="1" customHeight="1" x14ac:dyDescent="0.2">
      <c r="A170" s="4" t="s">
        <v>115</v>
      </c>
      <c r="B170" s="4">
        <v>72</v>
      </c>
      <c r="C170" s="7" t="s">
        <v>11</v>
      </c>
      <c r="D170" s="4" t="s">
        <v>18</v>
      </c>
      <c r="E170" s="4" t="s">
        <v>116</v>
      </c>
    </row>
    <row r="171" spans="1:6" ht="14.25" hidden="1" customHeight="1" x14ac:dyDescent="0.2">
      <c r="A171" s="4" t="s">
        <v>117</v>
      </c>
      <c r="B171" s="4">
        <v>5</v>
      </c>
      <c r="C171" s="7" t="s">
        <v>11</v>
      </c>
      <c r="D171" s="4" t="s">
        <v>18</v>
      </c>
      <c r="E171" s="4" t="s">
        <v>116</v>
      </c>
    </row>
    <row r="172" spans="1:6" ht="14.25" hidden="1" customHeight="1" x14ac:dyDescent="0.2">
      <c r="A172" s="4" t="s">
        <v>42</v>
      </c>
      <c r="B172" s="4">
        <v>112</v>
      </c>
      <c r="C172" s="7" t="s">
        <v>11</v>
      </c>
      <c r="D172" s="4" t="s">
        <v>18</v>
      </c>
      <c r="E172" s="4" t="s">
        <v>116</v>
      </c>
    </row>
    <row r="173" spans="1:6" ht="14.25" hidden="1" customHeight="1" x14ac:dyDescent="0.2">
      <c r="A173" s="4" t="s">
        <v>28</v>
      </c>
      <c r="B173" s="4">
        <v>3</v>
      </c>
      <c r="C173" s="7" t="s">
        <v>11</v>
      </c>
      <c r="D173" s="4" t="s">
        <v>18</v>
      </c>
      <c r="E173" s="4" t="s">
        <v>116</v>
      </c>
    </row>
    <row r="174" spans="1:6" ht="14.25" hidden="1" customHeight="1" x14ac:dyDescent="0.2">
      <c r="A174" s="4" t="s">
        <v>90</v>
      </c>
      <c r="B174" s="4">
        <v>5</v>
      </c>
      <c r="C174" s="7" t="s">
        <v>11</v>
      </c>
      <c r="D174" s="4" t="s">
        <v>18</v>
      </c>
      <c r="E174" s="4" t="s">
        <v>116</v>
      </c>
    </row>
  </sheetData>
  <autoFilter ref="A1:G174" xr:uid="{00000000-0001-0000-0000-000000000000}">
    <filterColumn colId="4">
      <filters>
        <filter val="拼好1"/>
        <filter val="拼好2"/>
        <filter val="拼好3"/>
        <filter val="拼好4"/>
      </filters>
    </filterColumn>
  </autoFilter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5A63-0E9E-476D-9800-5D9FE39226D1}">
  <dimension ref="A1:R275"/>
  <sheetViews>
    <sheetView workbookViewId="0">
      <selection activeCell="R15" sqref="Q3:R151"/>
    </sheetView>
  </sheetViews>
  <sheetFormatPr defaultRowHeight="14.25" x14ac:dyDescent="0.2"/>
  <cols>
    <col min="1" max="1" width="19.75" customWidth="1"/>
    <col min="2" max="2" width="13" customWidth="1"/>
    <col min="9" max="9" width="14.625" style="2" customWidth="1"/>
    <col min="10" max="10" width="8.5" style="2" customWidth="1"/>
    <col min="13" max="13" width="19.75" customWidth="1"/>
    <col min="14" max="14" width="13" customWidth="1"/>
    <col min="17" max="17" width="19.75" bestFit="1" customWidth="1"/>
    <col min="18" max="18" width="17.75" bestFit="1" customWidth="1"/>
  </cols>
  <sheetData>
    <row r="1" spans="1:18" x14ac:dyDescent="0.2">
      <c r="A1" s="3" t="s">
        <v>0</v>
      </c>
      <c r="B1" s="3" t="s">
        <v>1</v>
      </c>
      <c r="I1" s="3" t="s">
        <v>118</v>
      </c>
      <c r="J1" s="3" t="s">
        <v>119</v>
      </c>
      <c r="M1" s="3" t="s">
        <v>0</v>
      </c>
      <c r="N1" s="3" t="s">
        <v>1</v>
      </c>
    </row>
    <row r="2" spans="1:18" x14ac:dyDescent="0.2">
      <c r="A2" s="4" t="s">
        <v>5</v>
      </c>
      <c r="B2" s="4">
        <v>15</v>
      </c>
      <c r="I2" s="4" t="s">
        <v>120</v>
      </c>
      <c r="J2" s="5">
        <v>207.77</v>
      </c>
      <c r="M2" s="4" t="s">
        <v>5</v>
      </c>
      <c r="N2" s="4">
        <v>15</v>
      </c>
    </row>
    <row r="3" spans="1:18" x14ac:dyDescent="0.2">
      <c r="A3" s="4" t="s">
        <v>8</v>
      </c>
      <c r="B3" s="4">
        <v>121</v>
      </c>
      <c r="I3" s="4" t="s">
        <v>122</v>
      </c>
      <c r="J3" s="5">
        <v>71.41</v>
      </c>
      <c r="M3" s="4" t="s">
        <v>8</v>
      </c>
      <c r="N3" s="4">
        <v>121</v>
      </c>
      <c r="Q3" s="14" t="s">
        <v>527</v>
      </c>
      <c r="R3" t="s">
        <v>547</v>
      </c>
    </row>
    <row r="4" spans="1:18" x14ac:dyDescent="0.2">
      <c r="A4" s="4" t="s">
        <v>9</v>
      </c>
      <c r="B4" s="4">
        <v>117</v>
      </c>
      <c r="I4" s="4" t="s">
        <v>123</v>
      </c>
      <c r="J4" s="5">
        <v>294.14999999999998</v>
      </c>
      <c r="M4" s="4" t="s">
        <v>9</v>
      </c>
      <c r="N4" s="4">
        <v>117</v>
      </c>
      <c r="Q4" s="15" t="s">
        <v>74</v>
      </c>
      <c r="R4">
        <v>1913</v>
      </c>
    </row>
    <row r="5" spans="1:18" x14ac:dyDescent="0.2">
      <c r="A5" s="4" t="s">
        <v>10</v>
      </c>
      <c r="B5" s="4">
        <v>13</v>
      </c>
      <c r="I5" s="4" t="s">
        <v>124</v>
      </c>
      <c r="J5" s="5">
        <v>29.14</v>
      </c>
      <c r="M5" s="4" t="s">
        <v>10</v>
      </c>
      <c r="N5" s="4">
        <v>13</v>
      </c>
      <c r="Q5" s="15" t="s">
        <v>113</v>
      </c>
      <c r="R5">
        <v>78</v>
      </c>
    </row>
    <row r="6" spans="1:18" x14ac:dyDescent="0.2">
      <c r="A6" s="4" t="s">
        <v>12</v>
      </c>
      <c r="B6" s="4">
        <v>44</v>
      </c>
      <c r="I6" s="4" t="s">
        <v>123</v>
      </c>
      <c r="J6" s="5">
        <v>980.76</v>
      </c>
      <c r="M6" s="4" t="s">
        <v>12</v>
      </c>
      <c r="N6" s="4">
        <v>44</v>
      </c>
      <c r="Q6" s="15" t="s">
        <v>107</v>
      </c>
      <c r="R6">
        <v>231</v>
      </c>
    </row>
    <row r="7" spans="1:18" x14ac:dyDescent="0.2">
      <c r="A7" s="4" t="s">
        <v>13</v>
      </c>
      <c r="B7" s="4">
        <v>37</v>
      </c>
      <c r="I7" s="4" t="s">
        <v>123</v>
      </c>
      <c r="J7" s="5">
        <v>119.02</v>
      </c>
      <c r="M7" s="4" t="s">
        <v>13</v>
      </c>
      <c r="N7" s="4">
        <v>37</v>
      </c>
      <c r="Q7" s="15" t="s">
        <v>110</v>
      </c>
      <c r="R7">
        <v>41</v>
      </c>
    </row>
    <row r="8" spans="1:18" x14ac:dyDescent="0.2">
      <c r="A8" s="4" t="s">
        <v>14</v>
      </c>
      <c r="B8" s="4">
        <v>89</v>
      </c>
      <c r="I8" s="4" t="s">
        <v>125</v>
      </c>
      <c r="J8" s="5">
        <v>1664.8</v>
      </c>
      <c r="M8" s="4" t="s">
        <v>14</v>
      </c>
      <c r="N8" s="4">
        <v>89</v>
      </c>
      <c r="Q8" s="15" t="s">
        <v>89</v>
      </c>
      <c r="R8">
        <v>90</v>
      </c>
    </row>
    <row r="9" spans="1:18" x14ac:dyDescent="0.2">
      <c r="A9" s="4" t="s">
        <v>15</v>
      </c>
      <c r="B9" s="4">
        <v>304</v>
      </c>
      <c r="I9" s="4" t="s">
        <v>126</v>
      </c>
      <c r="J9" s="5">
        <v>415.28</v>
      </c>
      <c r="M9" s="4" t="s">
        <v>15</v>
      </c>
      <c r="N9" s="4">
        <v>304</v>
      </c>
      <c r="Q9" s="15" t="s">
        <v>91</v>
      </c>
      <c r="R9">
        <v>43</v>
      </c>
    </row>
    <row r="10" spans="1:18" x14ac:dyDescent="0.2">
      <c r="A10" s="4" t="s">
        <v>16</v>
      </c>
      <c r="B10" s="4">
        <v>398</v>
      </c>
      <c r="I10" s="4" t="s">
        <v>127</v>
      </c>
      <c r="J10" s="5">
        <v>705.48</v>
      </c>
      <c r="M10" s="4" t="s">
        <v>16</v>
      </c>
      <c r="N10" s="4">
        <v>398</v>
      </c>
      <c r="Q10" s="15" t="s">
        <v>87</v>
      </c>
      <c r="R10">
        <v>48</v>
      </c>
    </row>
    <row r="11" spans="1:18" x14ac:dyDescent="0.2">
      <c r="A11" s="4" t="s">
        <v>9</v>
      </c>
      <c r="B11" s="4">
        <v>96</v>
      </c>
      <c r="I11" s="4" t="s">
        <v>120</v>
      </c>
      <c r="J11" s="5">
        <v>106.45</v>
      </c>
      <c r="M11" s="4" t="s">
        <v>9</v>
      </c>
      <c r="N11" s="4">
        <v>96</v>
      </c>
      <c r="Q11" s="15" t="s">
        <v>92</v>
      </c>
      <c r="R11">
        <v>324</v>
      </c>
    </row>
    <row r="12" spans="1:18" x14ac:dyDescent="0.2">
      <c r="A12" s="4" t="s">
        <v>15</v>
      </c>
      <c r="B12" s="4">
        <v>46</v>
      </c>
      <c r="I12" s="4" t="s">
        <v>126</v>
      </c>
      <c r="J12" s="5">
        <v>871.93</v>
      </c>
      <c r="M12" s="4" t="s">
        <v>15</v>
      </c>
      <c r="N12" s="4">
        <v>46</v>
      </c>
      <c r="Q12" s="15" t="s">
        <v>78</v>
      </c>
      <c r="R12">
        <v>587</v>
      </c>
    </row>
    <row r="13" spans="1:18" x14ac:dyDescent="0.2">
      <c r="A13" s="4" t="s">
        <v>16</v>
      </c>
      <c r="B13" s="4">
        <v>83</v>
      </c>
      <c r="I13" s="4" t="s">
        <v>120</v>
      </c>
      <c r="J13" s="5">
        <v>677.49</v>
      </c>
      <c r="M13" s="4" t="s">
        <v>16</v>
      </c>
      <c r="N13" s="4">
        <v>83</v>
      </c>
      <c r="Q13" s="15" t="s">
        <v>85</v>
      </c>
      <c r="R13">
        <v>235</v>
      </c>
    </row>
    <row r="14" spans="1:18" x14ac:dyDescent="0.2">
      <c r="A14" s="4" t="s">
        <v>16</v>
      </c>
      <c r="B14" s="4">
        <v>80</v>
      </c>
      <c r="I14" s="4" t="s">
        <v>123</v>
      </c>
      <c r="J14" s="5">
        <v>1711.61</v>
      </c>
      <c r="M14" s="4" t="s">
        <v>16</v>
      </c>
      <c r="N14" s="4">
        <v>80</v>
      </c>
      <c r="Q14" s="15" t="s">
        <v>115</v>
      </c>
      <c r="R14">
        <v>72</v>
      </c>
    </row>
    <row r="15" spans="1:18" x14ac:dyDescent="0.2">
      <c r="A15" s="4" t="s">
        <v>8</v>
      </c>
      <c r="B15" s="4">
        <v>66</v>
      </c>
      <c r="I15" s="4" t="s">
        <v>128</v>
      </c>
      <c r="J15" s="5">
        <v>840.33</v>
      </c>
      <c r="M15" s="4" t="s">
        <v>8</v>
      </c>
      <c r="N15" s="4">
        <v>66</v>
      </c>
      <c r="Q15" s="15" t="s">
        <v>117</v>
      </c>
      <c r="R15">
        <v>5</v>
      </c>
    </row>
    <row r="16" spans="1:18" x14ac:dyDescent="0.2">
      <c r="A16" s="4" t="s">
        <v>9</v>
      </c>
      <c r="B16" s="4">
        <v>39</v>
      </c>
      <c r="I16" s="4" t="s">
        <v>129</v>
      </c>
      <c r="J16" s="5">
        <v>375.83</v>
      </c>
      <c r="M16" s="4" t="s">
        <v>9</v>
      </c>
      <c r="N16" s="4">
        <v>39</v>
      </c>
      <c r="Q16" s="15" t="s">
        <v>112</v>
      </c>
      <c r="R16">
        <v>324</v>
      </c>
    </row>
    <row r="17" spans="1:18" x14ac:dyDescent="0.2">
      <c r="A17" s="4" t="s">
        <v>15</v>
      </c>
      <c r="B17" s="4">
        <v>59</v>
      </c>
      <c r="I17" s="4" t="s">
        <v>130</v>
      </c>
      <c r="J17" s="5">
        <v>115.72</v>
      </c>
      <c r="M17" s="4" t="s">
        <v>15</v>
      </c>
      <c r="N17" s="4">
        <v>59</v>
      </c>
      <c r="Q17" s="15" t="s">
        <v>75</v>
      </c>
      <c r="R17">
        <v>1316</v>
      </c>
    </row>
    <row r="18" spans="1:18" x14ac:dyDescent="0.2">
      <c r="A18" s="4" t="s">
        <v>8</v>
      </c>
      <c r="B18" s="4">
        <v>49</v>
      </c>
      <c r="I18" s="4" t="s">
        <v>120</v>
      </c>
      <c r="J18" s="5">
        <v>52.26</v>
      </c>
      <c r="M18" s="4" t="s">
        <v>8</v>
      </c>
      <c r="N18" s="4">
        <v>49</v>
      </c>
      <c r="Q18" s="15" t="s">
        <v>111</v>
      </c>
      <c r="R18">
        <v>29</v>
      </c>
    </row>
    <row r="19" spans="1:18" x14ac:dyDescent="0.2">
      <c r="A19" s="4" t="s">
        <v>14</v>
      </c>
      <c r="B19" s="4">
        <v>51</v>
      </c>
      <c r="I19" s="4" t="s">
        <v>123</v>
      </c>
      <c r="J19" s="5">
        <v>129.58000000000001</v>
      </c>
      <c r="M19" s="4" t="s">
        <v>14</v>
      </c>
      <c r="N19" s="4">
        <v>51</v>
      </c>
      <c r="Q19" s="15" t="s">
        <v>72</v>
      </c>
      <c r="R19">
        <v>667</v>
      </c>
    </row>
    <row r="20" spans="1:18" x14ac:dyDescent="0.2">
      <c r="A20" s="4" t="s">
        <v>13</v>
      </c>
      <c r="B20" s="4">
        <v>26</v>
      </c>
      <c r="I20" s="4" t="s">
        <v>125</v>
      </c>
      <c r="J20" s="5">
        <v>181.23</v>
      </c>
      <c r="M20" s="4" t="s">
        <v>13</v>
      </c>
      <c r="N20" s="4">
        <v>26</v>
      </c>
      <c r="Q20" s="15" t="s">
        <v>103</v>
      </c>
      <c r="R20">
        <v>540</v>
      </c>
    </row>
    <row r="21" spans="1:18" x14ac:dyDescent="0.2">
      <c r="A21" s="4" t="s">
        <v>17</v>
      </c>
      <c r="B21" s="4">
        <v>84</v>
      </c>
      <c r="I21" s="4" t="s">
        <v>128</v>
      </c>
      <c r="J21" s="5">
        <v>19.149999999999999</v>
      </c>
      <c r="M21" s="4" t="s">
        <v>17</v>
      </c>
      <c r="N21" s="4">
        <v>84</v>
      </c>
      <c r="Q21" s="15" t="s">
        <v>108</v>
      </c>
      <c r="R21">
        <v>37</v>
      </c>
    </row>
    <row r="22" spans="1:18" x14ac:dyDescent="0.2">
      <c r="A22" s="4" t="s">
        <v>8</v>
      </c>
      <c r="B22" s="4">
        <v>181</v>
      </c>
      <c r="I22" s="4" t="s">
        <v>131</v>
      </c>
      <c r="J22" s="5">
        <v>24.36</v>
      </c>
      <c r="M22" s="4" t="s">
        <v>8</v>
      </c>
      <c r="N22" s="4">
        <v>181</v>
      </c>
      <c r="Q22" s="15" t="s">
        <v>114</v>
      </c>
      <c r="R22">
        <v>18</v>
      </c>
    </row>
    <row r="23" spans="1:18" x14ac:dyDescent="0.2">
      <c r="A23" s="4" t="s">
        <v>15</v>
      </c>
      <c r="B23" s="4">
        <v>110</v>
      </c>
      <c r="I23" s="4" t="s">
        <v>127</v>
      </c>
      <c r="J23" s="5">
        <v>17.78</v>
      </c>
      <c r="M23" s="4" t="s">
        <v>15</v>
      </c>
      <c r="N23" s="4">
        <v>110</v>
      </c>
      <c r="Q23" s="15" t="s">
        <v>83</v>
      </c>
      <c r="R23">
        <v>127</v>
      </c>
    </row>
    <row r="24" spans="1:18" x14ac:dyDescent="0.2">
      <c r="A24" s="4" t="s">
        <v>20</v>
      </c>
      <c r="B24" s="4">
        <v>72</v>
      </c>
      <c r="I24" s="4" t="s">
        <v>132</v>
      </c>
      <c r="J24" s="5">
        <v>563.96</v>
      </c>
      <c r="M24" s="4" t="s">
        <v>20</v>
      </c>
      <c r="N24" s="4">
        <v>72</v>
      </c>
      <c r="Q24" s="15" t="s">
        <v>79</v>
      </c>
      <c r="R24">
        <v>399</v>
      </c>
    </row>
    <row r="25" spans="1:18" x14ac:dyDescent="0.2">
      <c r="A25" s="4" t="s">
        <v>5</v>
      </c>
      <c r="B25" s="4">
        <v>66</v>
      </c>
      <c r="I25" s="4" t="s">
        <v>134</v>
      </c>
      <c r="J25" s="5">
        <v>884.23</v>
      </c>
      <c r="M25" s="4" t="s">
        <v>5</v>
      </c>
      <c r="N25" s="4">
        <v>66</v>
      </c>
      <c r="Q25" s="15" t="s">
        <v>81</v>
      </c>
      <c r="R25">
        <v>20</v>
      </c>
    </row>
    <row r="26" spans="1:18" x14ac:dyDescent="0.2">
      <c r="A26" s="4" t="s">
        <v>21</v>
      </c>
      <c r="B26" s="4">
        <v>70</v>
      </c>
      <c r="I26" s="4" t="s">
        <v>135</v>
      </c>
      <c r="J26" s="5">
        <v>446.05</v>
      </c>
      <c r="M26" s="4" t="s">
        <v>21</v>
      </c>
      <c r="N26" s="4">
        <v>70</v>
      </c>
      <c r="Q26" s="15" t="s">
        <v>59</v>
      </c>
      <c r="R26">
        <v>616</v>
      </c>
    </row>
    <row r="27" spans="1:18" x14ac:dyDescent="0.2">
      <c r="A27" s="4" t="s">
        <v>21</v>
      </c>
      <c r="B27" s="4">
        <v>33</v>
      </c>
      <c r="I27" s="4" t="s">
        <v>135</v>
      </c>
      <c r="J27" s="5">
        <v>137.1</v>
      </c>
      <c r="M27" s="4" t="s">
        <v>21</v>
      </c>
      <c r="N27" s="4">
        <v>33</v>
      </c>
      <c r="Q27" s="15" t="s">
        <v>58</v>
      </c>
      <c r="R27">
        <v>109</v>
      </c>
    </row>
    <row r="28" spans="1:18" x14ac:dyDescent="0.2">
      <c r="A28" s="4" t="s">
        <v>22</v>
      </c>
      <c r="B28" s="4">
        <v>119</v>
      </c>
      <c r="I28" s="4" t="s">
        <v>136</v>
      </c>
      <c r="J28" s="5">
        <v>561.37</v>
      </c>
      <c r="M28" s="4" t="s">
        <v>22</v>
      </c>
      <c r="N28" s="4">
        <v>119</v>
      </c>
      <c r="Q28" s="15" t="s">
        <v>52</v>
      </c>
      <c r="R28">
        <v>348</v>
      </c>
    </row>
    <row r="29" spans="1:18" x14ac:dyDescent="0.2">
      <c r="A29" s="4" t="s">
        <v>24</v>
      </c>
      <c r="B29" s="4">
        <v>121</v>
      </c>
      <c r="I29" s="4" t="s">
        <v>137</v>
      </c>
      <c r="J29" s="5">
        <v>467.98</v>
      </c>
      <c r="M29" s="4" t="s">
        <v>24</v>
      </c>
      <c r="N29" s="4">
        <v>121</v>
      </c>
      <c r="Q29" s="15" t="s">
        <v>56</v>
      </c>
      <c r="R29">
        <v>147</v>
      </c>
    </row>
    <row r="30" spans="1:18" x14ac:dyDescent="0.2">
      <c r="A30" s="4" t="s">
        <v>22</v>
      </c>
      <c r="B30" s="4">
        <v>12</v>
      </c>
      <c r="I30" s="4" t="s">
        <v>138</v>
      </c>
      <c r="J30" s="5">
        <v>532.97</v>
      </c>
      <c r="M30" s="4" t="s">
        <v>22</v>
      </c>
      <c r="N30" s="4">
        <v>12</v>
      </c>
      <c r="Q30" s="15" t="s">
        <v>57</v>
      </c>
      <c r="R30">
        <v>274</v>
      </c>
    </row>
    <row r="31" spans="1:18" x14ac:dyDescent="0.2">
      <c r="A31" s="4" t="s">
        <v>25</v>
      </c>
      <c r="B31" s="4">
        <v>144</v>
      </c>
      <c r="I31" s="4" t="s">
        <v>139</v>
      </c>
      <c r="J31" s="5">
        <v>282.3</v>
      </c>
      <c r="M31" s="4" t="s">
        <v>25</v>
      </c>
      <c r="N31" s="4">
        <v>144</v>
      </c>
      <c r="Q31" s="15" t="s">
        <v>62</v>
      </c>
      <c r="R31">
        <v>126</v>
      </c>
    </row>
    <row r="32" spans="1:18" x14ac:dyDescent="0.2">
      <c r="A32" s="4" t="s">
        <v>26</v>
      </c>
      <c r="B32" s="4">
        <v>174</v>
      </c>
      <c r="I32" s="4" t="s">
        <v>140</v>
      </c>
      <c r="J32" s="5">
        <v>1538.29</v>
      </c>
      <c r="M32" s="4" t="s">
        <v>26</v>
      </c>
      <c r="N32" s="4">
        <v>174</v>
      </c>
      <c r="Q32" s="15" t="s">
        <v>55</v>
      </c>
      <c r="R32">
        <v>308</v>
      </c>
    </row>
    <row r="33" spans="1:18" x14ac:dyDescent="0.2">
      <c r="A33" s="4" t="s">
        <v>24</v>
      </c>
      <c r="B33" s="4">
        <v>360</v>
      </c>
      <c r="I33" s="4" t="s">
        <v>141</v>
      </c>
      <c r="J33" s="5">
        <v>92.79</v>
      </c>
      <c r="M33" s="4" t="s">
        <v>24</v>
      </c>
      <c r="N33" s="4">
        <v>360</v>
      </c>
      <c r="Q33" s="15" t="s">
        <v>54</v>
      </c>
      <c r="R33">
        <v>323</v>
      </c>
    </row>
    <row r="34" spans="1:18" x14ac:dyDescent="0.2">
      <c r="A34" s="4" t="s">
        <v>27</v>
      </c>
      <c r="B34" s="4">
        <v>88</v>
      </c>
      <c r="I34" s="4" t="s">
        <v>143</v>
      </c>
      <c r="J34" s="5">
        <v>40</v>
      </c>
      <c r="M34" s="4" t="s">
        <v>27</v>
      </c>
      <c r="N34" s="4">
        <v>88</v>
      </c>
      <c r="Q34" s="15" t="s">
        <v>32</v>
      </c>
      <c r="R34">
        <v>7</v>
      </c>
    </row>
    <row r="35" spans="1:18" x14ac:dyDescent="0.2">
      <c r="A35" s="4" t="s">
        <v>28</v>
      </c>
      <c r="B35" s="4">
        <v>25</v>
      </c>
      <c r="I35" s="4" t="s">
        <v>144</v>
      </c>
      <c r="J35" s="5">
        <v>92.52</v>
      </c>
      <c r="M35" s="16" t="s">
        <v>535</v>
      </c>
      <c r="N35" s="4">
        <v>25</v>
      </c>
      <c r="Q35" s="15" t="s">
        <v>35</v>
      </c>
      <c r="R35">
        <v>21</v>
      </c>
    </row>
    <row r="36" spans="1:18" x14ac:dyDescent="0.2">
      <c r="A36" s="4" t="s">
        <v>30</v>
      </c>
      <c r="B36" s="4">
        <v>20</v>
      </c>
      <c r="I36" s="4" t="s">
        <v>145</v>
      </c>
      <c r="J36" s="5">
        <v>26.65</v>
      </c>
      <c r="M36" s="4" t="s">
        <v>30</v>
      </c>
      <c r="N36" s="4">
        <v>20</v>
      </c>
      <c r="Q36" s="15" t="s">
        <v>34</v>
      </c>
      <c r="R36">
        <v>81</v>
      </c>
    </row>
    <row r="37" spans="1:18" x14ac:dyDescent="0.2">
      <c r="A37" s="4" t="s">
        <v>31</v>
      </c>
      <c r="B37" s="4">
        <v>3</v>
      </c>
      <c r="I37" s="4" t="s">
        <v>146</v>
      </c>
      <c r="J37" s="5">
        <v>316.14</v>
      </c>
      <c r="M37" s="4" t="s">
        <v>31</v>
      </c>
      <c r="N37" s="4">
        <v>3</v>
      </c>
      <c r="Q37" s="15" t="s">
        <v>36</v>
      </c>
      <c r="R37">
        <v>77</v>
      </c>
    </row>
    <row r="38" spans="1:18" x14ac:dyDescent="0.2">
      <c r="A38" s="4" t="s">
        <v>30</v>
      </c>
      <c r="B38" s="4">
        <v>25</v>
      </c>
      <c r="I38" s="16" t="s">
        <v>530</v>
      </c>
      <c r="J38" s="5">
        <v>373</v>
      </c>
      <c r="M38" s="4" t="s">
        <v>30</v>
      </c>
      <c r="N38" s="4">
        <v>25</v>
      </c>
      <c r="Q38" s="15" t="s">
        <v>84</v>
      </c>
      <c r="R38">
        <v>124</v>
      </c>
    </row>
    <row r="39" spans="1:18" x14ac:dyDescent="0.2">
      <c r="A39" s="4" t="s">
        <v>31</v>
      </c>
      <c r="B39" s="4">
        <v>15</v>
      </c>
      <c r="I39" s="4" t="s">
        <v>147</v>
      </c>
      <c r="J39" s="5">
        <v>451.09</v>
      </c>
      <c r="M39" s="4" t="s">
        <v>31</v>
      </c>
      <c r="N39" s="4">
        <v>15</v>
      </c>
      <c r="Q39" s="15" t="s">
        <v>28</v>
      </c>
      <c r="R39">
        <v>3</v>
      </c>
    </row>
    <row r="40" spans="1:18" x14ac:dyDescent="0.2">
      <c r="A40" s="4" t="s">
        <v>30</v>
      </c>
      <c r="B40" s="4">
        <v>32</v>
      </c>
      <c r="I40" s="4" t="s">
        <v>149</v>
      </c>
      <c r="J40" s="5">
        <v>103.93</v>
      </c>
      <c r="M40" s="4" t="s">
        <v>30</v>
      </c>
      <c r="N40" s="4">
        <v>32</v>
      </c>
      <c r="Q40" s="15" t="s">
        <v>27</v>
      </c>
      <c r="R40">
        <v>88</v>
      </c>
    </row>
    <row r="41" spans="1:18" x14ac:dyDescent="0.2">
      <c r="A41" s="4" t="s">
        <v>32</v>
      </c>
      <c r="B41" s="4">
        <v>7</v>
      </c>
      <c r="I41" s="4" t="s">
        <v>150</v>
      </c>
      <c r="J41" s="5">
        <v>560.41</v>
      </c>
      <c r="M41" s="4" t="s">
        <v>32</v>
      </c>
      <c r="N41" s="4">
        <v>7</v>
      </c>
      <c r="Q41" s="15" t="s">
        <v>31</v>
      </c>
      <c r="R41">
        <v>43</v>
      </c>
    </row>
    <row r="42" spans="1:18" x14ac:dyDescent="0.2">
      <c r="A42" s="4" t="s">
        <v>34</v>
      </c>
      <c r="B42" s="4">
        <v>81</v>
      </c>
      <c r="I42" s="4" t="s">
        <v>147</v>
      </c>
      <c r="J42" s="5">
        <v>407.21</v>
      </c>
      <c r="M42" s="4" t="s">
        <v>34</v>
      </c>
      <c r="N42" s="4">
        <v>81</v>
      </c>
      <c r="Q42" s="15" t="s">
        <v>30</v>
      </c>
      <c r="R42">
        <v>77</v>
      </c>
    </row>
    <row r="43" spans="1:18" x14ac:dyDescent="0.2">
      <c r="A43" s="4" t="s">
        <v>35</v>
      </c>
      <c r="B43" s="4">
        <v>21</v>
      </c>
      <c r="I43" s="4" t="s">
        <v>151</v>
      </c>
      <c r="J43" s="5">
        <v>330.1</v>
      </c>
      <c r="M43" s="4" t="s">
        <v>35</v>
      </c>
      <c r="N43" s="4">
        <v>21</v>
      </c>
      <c r="Q43" s="15" t="s">
        <v>109</v>
      </c>
      <c r="R43">
        <v>118</v>
      </c>
    </row>
    <row r="44" spans="1:18" x14ac:dyDescent="0.2">
      <c r="A44" s="4" t="s">
        <v>36</v>
      </c>
      <c r="B44" s="4">
        <v>77</v>
      </c>
      <c r="I44" s="4" t="s">
        <v>152</v>
      </c>
      <c r="J44" s="5">
        <v>239.04</v>
      </c>
      <c r="M44" s="4" t="s">
        <v>36</v>
      </c>
      <c r="N44" s="4">
        <v>77</v>
      </c>
      <c r="Q44" s="15" t="s">
        <v>98</v>
      </c>
      <c r="R44">
        <v>158</v>
      </c>
    </row>
    <row r="45" spans="1:18" x14ac:dyDescent="0.2">
      <c r="A45" s="4" t="s">
        <v>37</v>
      </c>
      <c r="B45" s="4">
        <v>23</v>
      </c>
      <c r="I45" s="4" t="s">
        <v>149</v>
      </c>
      <c r="J45" s="5">
        <v>243.6</v>
      </c>
      <c r="M45" s="4" t="s">
        <v>37</v>
      </c>
      <c r="N45" s="4">
        <v>23</v>
      </c>
      <c r="Q45" s="15" t="s">
        <v>25</v>
      </c>
      <c r="R45">
        <v>144</v>
      </c>
    </row>
    <row r="46" spans="1:18" x14ac:dyDescent="0.2">
      <c r="A46" s="4" t="s">
        <v>38</v>
      </c>
      <c r="B46" s="4">
        <v>98</v>
      </c>
      <c r="I46" s="4" t="s">
        <v>152</v>
      </c>
      <c r="J46" s="5">
        <v>162.22999999999999</v>
      </c>
      <c r="M46" s="4" t="s">
        <v>38</v>
      </c>
      <c r="N46" s="4">
        <v>98</v>
      </c>
      <c r="Q46" s="15" t="s">
        <v>24</v>
      </c>
      <c r="R46">
        <v>481</v>
      </c>
    </row>
    <row r="47" spans="1:18" x14ac:dyDescent="0.2">
      <c r="A47" s="4" t="s">
        <v>39</v>
      </c>
      <c r="B47" s="4">
        <v>44</v>
      </c>
      <c r="I47" s="4" t="s">
        <v>153</v>
      </c>
      <c r="J47" s="5">
        <v>64.400000000000006</v>
      </c>
      <c r="M47" s="4" t="s">
        <v>39</v>
      </c>
      <c r="N47" s="4">
        <v>44</v>
      </c>
      <c r="Q47" s="15" t="s">
        <v>22</v>
      </c>
      <c r="R47">
        <v>131</v>
      </c>
    </row>
    <row r="48" spans="1:18" x14ac:dyDescent="0.2">
      <c r="A48" s="4" t="s">
        <v>40</v>
      </c>
      <c r="B48" s="4">
        <v>18</v>
      </c>
      <c r="I48" s="4" t="s">
        <v>151</v>
      </c>
      <c r="J48" s="8">
        <v>175.19</v>
      </c>
      <c r="M48" s="4" t="s">
        <v>40</v>
      </c>
      <c r="N48" s="4">
        <v>18</v>
      </c>
      <c r="Q48" s="15" t="s">
        <v>26</v>
      </c>
      <c r="R48">
        <v>174</v>
      </c>
    </row>
    <row r="49" spans="1:18" x14ac:dyDescent="0.2">
      <c r="A49" s="4" t="s">
        <v>41</v>
      </c>
      <c r="B49" s="4">
        <v>59</v>
      </c>
      <c r="I49" s="4" t="s">
        <v>154</v>
      </c>
      <c r="J49" s="8">
        <v>67.209999999999994</v>
      </c>
      <c r="M49" s="4" t="s">
        <v>41</v>
      </c>
      <c r="N49" s="4">
        <v>59</v>
      </c>
      <c r="Q49" s="15" t="s">
        <v>86</v>
      </c>
      <c r="R49">
        <v>9</v>
      </c>
    </row>
    <row r="50" spans="1:18" x14ac:dyDescent="0.2">
      <c r="A50" s="4" t="s">
        <v>42</v>
      </c>
      <c r="B50" s="4">
        <v>163</v>
      </c>
      <c r="I50" s="16" t="s">
        <v>531</v>
      </c>
      <c r="J50" s="8">
        <v>290.45999999999998</v>
      </c>
      <c r="M50" s="4" t="s">
        <v>42</v>
      </c>
      <c r="N50" s="4">
        <v>163</v>
      </c>
      <c r="Q50" s="15" t="s">
        <v>90</v>
      </c>
      <c r="R50">
        <v>181</v>
      </c>
    </row>
    <row r="51" spans="1:18" x14ac:dyDescent="0.2">
      <c r="A51" s="4" t="s">
        <v>42</v>
      </c>
      <c r="B51" s="4">
        <v>131</v>
      </c>
      <c r="I51" s="4" t="s">
        <v>155</v>
      </c>
      <c r="J51" s="5">
        <v>803.04</v>
      </c>
      <c r="M51" s="4" t="s">
        <v>42</v>
      </c>
      <c r="N51" s="4">
        <v>131</v>
      </c>
      <c r="Q51" s="15" t="s">
        <v>538</v>
      </c>
      <c r="R51">
        <v>436</v>
      </c>
    </row>
    <row r="52" spans="1:18" x14ac:dyDescent="0.2">
      <c r="A52" s="4" t="s">
        <v>41</v>
      </c>
      <c r="B52" s="4">
        <v>62</v>
      </c>
      <c r="I52" s="4" t="s">
        <v>157</v>
      </c>
      <c r="J52" s="5">
        <v>296.7</v>
      </c>
      <c r="M52" s="4" t="s">
        <v>41</v>
      </c>
      <c r="N52" s="4">
        <v>62</v>
      </c>
      <c r="Q52" s="15" t="s">
        <v>42</v>
      </c>
      <c r="R52">
        <v>639</v>
      </c>
    </row>
    <row r="53" spans="1:18" x14ac:dyDescent="0.2">
      <c r="A53" s="4" t="s">
        <v>42</v>
      </c>
      <c r="B53" s="4">
        <v>140</v>
      </c>
      <c r="I53" s="4" t="s">
        <v>158</v>
      </c>
      <c r="J53" s="5">
        <v>77.77</v>
      </c>
      <c r="M53" s="4" t="s">
        <v>42</v>
      </c>
      <c r="N53" s="4">
        <v>140</v>
      </c>
      <c r="Q53" s="15" t="s">
        <v>50</v>
      </c>
      <c r="R53">
        <v>74</v>
      </c>
    </row>
    <row r="54" spans="1:18" x14ac:dyDescent="0.2">
      <c r="A54" s="4" t="s">
        <v>42</v>
      </c>
      <c r="B54" s="4">
        <v>65</v>
      </c>
      <c r="I54" s="4" t="s">
        <v>158</v>
      </c>
      <c r="J54" s="5">
        <v>158.65</v>
      </c>
      <c r="M54" s="4" t="s">
        <v>42</v>
      </c>
      <c r="N54" s="4">
        <v>65</v>
      </c>
      <c r="Q54" s="15" t="s">
        <v>41</v>
      </c>
      <c r="R54">
        <v>186</v>
      </c>
    </row>
    <row r="55" spans="1:18" x14ac:dyDescent="0.2">
      <c r="A55" s="4" t="s">
        <v>46</v>
      </c>
      <c r="B55" s="4">
        <v>525</v>
      </c>
      <c r="I55" s="4" t="s">
        <v>159</v>
      </c>
      <c r="J55" s="5">
        <v>234.23</v>
      </c>
      <c r="M55" s="4" t="s">
        <v>46</v>
      </c>
      <c r="N55" s="4">
        <v>525</v>
      </c>
      <c r="Q55" s="15" t="s">
        <v>47</v>
      </c>
      <c r="R55">
        <v>344</v>
      </c>
    </row>
    <row r="56" spans="1:18" x14ac:dyDescent="0.2">
      <c r="A56" s="4" t="s">
        <v>47</v>
      </c>
      <c r="B56" s="4">
        <v>271</v>
      </c>
      <c r="I56" s="4" t="s">
        <v>157</v>
      </c>
      <c r="J56" s="5">
        <v>139.47999999999999</v>
      </c>
      <c r="M56" s="4" t="s">
        <v>47</v>
      </c>
      <c r="N56" s="4">
        <v>271</v>
      </c>
      <c r="Q56" s="15" t="s">
        <v>46</v>
      </c>
      <c r="R56">
        <v>525</v>
      </c>
    </row>
    <row r="57" spans="1:18" x14ac:dyDescent="0.2">
      <c r="A57" s="4" t="s">
        <v>48</v>
      </c>
      <c r="B57" s="4">
        <v>168</v>
      </c>
      <c r="I57" s="4" t="s">
        <v>160</v>
      </c>
      <c r="J57" s="5">
        <v>149.59</v>
      </c>
      <c r="M57" s="4" t="s">
        <v>48</v>
      </c>
      <c r="N57" s="4">
        <v>168</v>
      </c>
      <c r="Q57" s="15" t="s">
        <v>48</v>
      </c>
      <c r="R57">
        <v>218</v>
      </c>
    </row>
    <row r="58" spans="1:18" x14ac:dyDescent="0.2">
      <c r="A58" s="4" t="s">
        <v>49</v>
      </c>
      <c r="B58" s="4">
        <v>191</v>
      </c>
      <c r="I58" s="4" t="s">
        <v>158</v>
      </c>
      <c r="J58" s="5">
        <v>138.16</v>
      </c>
      <c r="M58" s="4" t="s">
        <v>49</v>
      </c>
      <c r="N58" s="4">
        <v>191</v>
      </c>
      <c r="Q58" s="15" t="s">
        <v>38</v>
      </c>
      <c r="R58">
        <v>98</v>
      </c>
    </row>
    <row r="59" spans="1:18" x14ac:dyDescent="0.2">
      <c r="A59" s="4" t="s">
        <v>47</v>
      </c>
      <c r="B59" s="4">
        <v>23</v>
      </c>
      <c r="I59" s="4" t="s">
        <v>161</v>
      </c>
      <c r="J59" s="5">
        <v>41.04</v>
      </c>
      <c r="M59" s="4" t="s">
        <v>47</v>
      </c>
      <c r="N59" s="4">
        <v>23</v>
      </c>
      <c r="Q59" s="15" t="s">
        <v>37</v>
      </c>
      <c r="R59">
        <v>23</v>
      </c>
    </row>
    <row r="60" spans="1:18" x14ac:dyDescent="0.2">
      <c r="A60" s="4" t="s">
        <v>48</v>
      </c>
      <c r="B60" s="4">
        <v>34</v>
      </c>
      <c r="I60" s="4" t="s">
        <v>162</v>
      </c>
      <c r="J60" s="5">
        <v>142.13</v>
      </c>
      <c r="M60" s="4" t="s">
        <v>48</v>
      </c>
      <c r="N60" s="4">
        <v>34</v>
      </c>
      <c r="Q60" s="15" t="s">
        <v>51</v>
      </c>
      <c r="R60">
        <v>57</v>
      </c>
    </row>
    <row r="61" spans="1:18" x14ac:dyDescent="0.2">
      <c r="A61" s="4" t="s">
        <v>41</v>
      </c>
      <c r="B61" s="4">
        <v>65</v>
      </c>
      <c r="I61" s="4" t="s">
        <v>163</v>
      </c>
      <c r="J61" s="5">
        <v>281.95999999999998</v>
      </c>
      <c r="M61" s="4" t="s">
        <v>41</v>
      </c>
      <c r="N61" s="4">
        <v>65</v>
      </c>
      <c r="Q61" s="15" t="s">
        <v>49</v>
      </c>
      <c r="R61">
        <v>191</v>
      </c>
    </row>
    <row r="62" spans="1:18" x14ac:dyDescent="0.2">
      <c r="A62" s="4" t="s">
        <v>47</v>
      </c>
      <c r="B62" s="4">
        <v>50</v>
      </c>
      <c r="I62" s="4" t="s">
        <v>155</v>
      </c>
      <c r="J62" s="5">
        <v>217.24</v>
      </c>
      <c r="M62" s="4" t="s">
        <v>47</v>
      </c>
      <c r="N62" s="4">
        <v>50</v>
      </c>
      <c r="Q62" s="15" t="s">
        <v>82</v>
      </c>
      <c r="R62">
        <v>30</v>
      </c>
    </row>
    <row r="63" spans="1:18" x14ac:dyDescent="0.2">
      <c r="A63" s="4" t="s">
        <v>48</v>
      </c>
      <c r="B63" s="4">
        <v>16</v>
      </c>
      <c r="I63" s="16" t="s">
        <v>532</v>
      </c>
      <c r="J63" s="5">
        <v>439.92</v>
      </c>
      <c r="M63" s="4" t="s">
        <v>48</v>
      </c>
      <c r="N63" s="4">
        <v>16</v>
      </c>
      <c r="Q63" s="15" t="s">
        <v>17</v>
      </c>
      <c r="R63">
        <v>841</v>
      </c>
    </row>
    <row r="64" spans="1:18" x14ac:dyDescent="0.2">
      <c r="A64" s="4" t="s">
        <v>50</v>
      </c>
      <c r="B64" s="4">
        <v>74</v>
      </c>
      <c r="I64" s="4" t="s">
        <v>164</v>
      </c>
      <c r="J64" s="5">
        <v>468.96</v>
      </c>
      <c r="M64" s="4" t="s">
        <v>50</v>
      </c>
      <c r="N64" s="4">
        <v>74</v>
      </c>
      <c r="Q64" s="15" t="s">
        <v>10</v>
      </c>
      <c r="R64">
        <v>13</v>
      </c>
    </row>
    <row r="65" spans="1:18" x14ac:dyDescent="0.2">
      <c r="A65" s="4" t="s">
        <v>51</v>
      </c>
      <c r="B65" s="4">
        <v>57</v>
      </c>
      <c r="I65" s="4" t="s">
        <v>166</v>
      </c>
      <c r="J65" s="5">
        <v>401.11</v>
      </c>
      <c r="M65" s="4" t="s">
        <v>51</v>
      </c>
      <c r="N65" s="4">
        <v>57</v>
      </c>
      <c r="Q65" s="15" t="s">
        <v>13</v>
      </c>
      <c r="R65">
        <v>63</v>
      </c>
    </row>
    <row r="66" spans="1:18" x14ac:dyDescent="0.2">
      <c r="A66" s="4" t="s">
        <v>52</v>
      </c>
      <c r="B66" s="8">
        <v>70</v>
      </c>
      <c r="I66" s="4" t="s">
        <v>167</v>
      </c>
      <c r="J66" s="5">
        <v>721.19</v>
      </c>
      <c r="M66" s="4" t="s">
        <v>52</v>
      </c>
      <c r="N66" s="8">
        <v>70</v>
      </c>
      <c r="Q66" s="15" t="s">
        <v>5</v>
      </c>
      <c r="R66">
        <v>81</v>
      </c>
    </row>
    <row r="67" spans="1:18" x14ac:dyDescent="0.2">
      <c r="A67" s="4" t="s">
        <v>54</v>
      </c>
      <c r="B67" s="8">
        <v>93</v>
      </c>
      <c r="I67" s="4" t="s">
        <v>168</v>
      </c>
      <c r="J67" s="5">
        <v>502.97</v>
      </c>
      <c r="M67" s="4" t="s">
        <v>54</v>
      </c>
      <c r="N67" s="8">
        <v>93</v>
      </c>
      <c r="Q67" s="15" t="s">
        <v>9</v>
      </c>
      <c r="R67">
        <v>252</v>
      </c>
    </row>
    <row r="68" spans="1:18" x14ac:dyDescent="0.2">
      <c r="A68" s="4" t="s">
        <v>55</v>
      </c>
      <c r="B68" s="8">
        <v>160</v>
      </c>
      <c r="I68" s="4" t="s">
        <v>169</v>
      </c>
      <c r="J68" s="5">
        <v>428.98</v>
      </c>
      <c r="M68" s="4" t="s">
        <v>55</v>
      </c>
      <c r="N68" s="8">
        <v>160</v>
      </c>
      <c r="Q68" s="15" t="s">
        <v>15</v>
      </c>
      <c r="R68">
        <v>519</v>
      </c>
    </row>
    <row r="69" spans="1:18" x14ac:dyDescent="0.2">
      <c r="A69" s="4" t="s">
        <v>56</v>
      </c>
      <c r="B69" s="8">
        <v>43</v>
      </c>
      <c r="I69" s="4" t="s">
        <v>170</v>
      </c>
      <c r="J69" s="5">
        <v>355.94</v>
      </c>
      <c r="M69" s="4" t="s">
        <v>56</v>
      </c>
      <c r="N69" s="8">
        <v>43</v>
      </c>
      <c r="Q69" s="15" t="s">
        <v>16</v>
      </c>
      <c r="R69">
        <v>561</v>
      </c>
    </row>
    <row r="70" spans="1:18" x14ac:dyDescent="0.2">
      <c r="A70" s="4" t="s">
        <v>57</v>
      </c>
      <c r="B70" s="8">
        <v>12</v>
      </c>
      <c r="I70" s="4" t="s">
        <v>171</v>
      </c>
      <c r="J70" s="5">
        <v>41.68</v>
      </c>
      <c r="M70" s="4" t="s">
        <v>57</v>
      </c>
      <c r="N70" s="8">
        <v>12</v>
      </c>
      <c r="Q70" s="15" t="s">
        <v>20</v>
      </c>
      <c r="R70">
        <v>72</v>
      </c>
    </row>
    <row r="71" spans="1:18" x14ac:dyDescent="0.2">
      <c r="A71" s="4" t="s">
        <v>58</v>
      </c>
      <c r="B71" s="8">
        <v>109</v>
      </c>
      <c r="I71" s="4" t="s">
        <v>172</v>
      </c>
      <c r="J71" s="5">
        <v>320.26</v>
      </c>
      <c r="M71" s="4" t="s">
        <v>58</v>
      </c>
      <c r="N71" s="8">
        <v>109</v>
      </c>
      <c r="Q71" s="15" t="s">
        <v>21</v>
      </c>
      <c r="R71">
        <v>103</v>
      </c>
    </row>
    <row r="72" spans="1:18" x14ac:dyDescent="0.2">
      <c r="A72" s="4" t="s">
        <v>57</v>
      </c>
      <c r="B72" s="8">
        <v>199</v>
      </c>
      <c r="I72" s="4" t="s">
        <v>173</v>
      </c>
      <c r="J72" s="5">
        <v>385.16</v>
      </c>
      <c r="M72" s="4" t="s">
        <v>57</v>
      </c>
      <c r="N72" s="8">
        <v>199</v>
      </c>
      <c r="Q72" s="15" t="s">
        <v>12</v>
      </c>
      <c r="R72">
        <v>44</v>
      </c>
    </row>
    <row r="73" spans="1:18" x14ac:dyDescent="0.2">
      <c r="A73" s="4" t="s">
        <v>54</v>
      </c>
      <c r="B73" s="8">
        <v>224</v>
      </c>
      <c r="I73" s="4" t="s">
        <v>174</v>
      </c>
      <c r="J73" s="5">
        <v>597.6</v>
      </c>
      <c r="M73" s="4" t="s">
        <v>54</v>
      </c>
      <c r="N73" s="8">
        <v>224</v>
      </c>
      <c r="Q73" s="15" t="s">
        <v>8</v>
      </c>
      <c r="R73">
        <v>417</v>
      </c>
    </row>
    <row r="74" spans="1:18" x14ac:dyDescent="0.2">
      <c r="A74" s="4" t="s">
        <v>55</v>
      </c>
      <c r="B74" s="8">
        <v>139</v>
      </c>
      <c r="I74" s="4" t="s">
        <v>175</v>
      </c>
      <c r="J74" s="5">
        <v>61.65</v>
      </c>
      <c r="M74" s="4" t="s">
        <v>55</v>
      </c>
      <c r="N74" s="8">
        <v>139</v>
      </c>
      <c r="Q74" s="15" t="s">
        <v>14</v>
      </c>
      <c r="R74">
        <v>140</v>
      </c>
    </row>
    <row r="75" spans="1:18" x14ac:dyDescent="0.2">
      <c r="A75" s="4" t="s">
        <v>59</v>
      </c>
      <c r="B75" s="8">
        <v>135</v>
      </c>
      <c r="I75" s="4" t="s">
        <v>176</v>
      </c>
      <c r="J75" s="5">
        <v>1155.45</v>
      </c>
      <c r="M75" s="4" t="s">
        <v>59</v>
      </c>
      <c r="N75" s="8">
        <v>135</v>
      </c>
      <c r="Q75" s="15" t="s">
        <v>88</v>
      </c>
      <c r="R75">
        <v>28</v>
      </c>
    </row>
    <row r="76" spans="1:18" x14ac:dyDescent="0.2">
      <c r="A76" s="4" t="s">
        <v>56</v>
      </c>
      <c r="B76" s="8">
        <v>77</v>
      </c>
      <c r="I76" s="4" t="s">
        <v>177</v>
      </c>
      <c r="J76" s="5">
        <v>550.04</v>
      </c>
      <c r="M76" s="4" t="s">
        <v>56</v>
      </c>
      <c r="N76" s="8">
        <v>77</v>
      </c>
      <c r="Q76" s="15" t="s">
        <v>39</v>
      </c>
      <c r="R76">
        <v>44</v>
      </c>
    </row>
    <row r="77" spans="1:18" x14ac:dyDescent="0.2">
      <c r="A77" s="4" t="s">
        <v>52</v>
      </c>
      <c r="B77" s="8">
        <v>13</v>
      </c>
      <c r="I77" s="4" t="s">
        <v>176</v>
      </c>
      <c r="J77" s="5">
        <v>74.14</v>
      </c>
      <c r="M77" s="4" t="s">
        <v>52</v>
      </c>
      <c r="N77" s="8">
        <v>13</v>
      </c>
      <c r="Q77" s="15" t="s">
        <v>40</v>
      </c>
      <c r="R77">
        <v>18</v>
      </c>
    </row>
    <row r="78" spans="1:18" x14ac:dyDescent="0.2">
      <c r="A78" s="4" t="s">
        <v>54</v>
      </c>
      <c r="B78" s="8">
        <v>6</v>
      </c>
      <c r="I78" s="4" t="s">
        <v>174</v>
      </c>
      <c r="J78" s="5">
        <v>293.41000000000003</v>
      </c>
      <c r="M78" s="4" t="s">
        <v>54</v>
      </c>
      <c r="N78" s="8">
        <v>6</v>
      </c>
      <c r="Q78" s="15" t="s">
        <v>541</v>
      </c>
      <c r="R78">
        <v>88</v>
      </c>
    </row>
    <row r="79" spans="1:18" x14ac:dyDescent="0.2">
      <c r="A79" s="4" t="s">
        <v>55</v>
      </c>
      <c r="B79" s="8">
        <v>9</v>
      </c>
      <c r="I79" s="4" t="s">
        <v>178</v>
      </c>
      <c r="J79" s="5">
        <v>203.87</v>
      </c>
      <c r="M79" s="4" t="s">
        <v>55</v>
      </c>
      <c r="N79" s="8">
        <v>9</v>
      </c>
      <c r="Q79" s="15" t="s">
        <v>64</v>
      </c>
      <c r="R79">
        <v>497</v>
      </c>
    </row>
    <row r="80" spans="1:18" x14ac:dyDescent="0.2">
      <c r="A80" s="4" t="s">
        <v>57</v>
      </c>
      <c r="B80" s="8">
        <v>4</v>
      </c>
      <c r="I80" s="4" t="s">
        <v>179</v>
      </c>
      <c r="J80" s="5">
        <v>243.77</v>
      </c>
      <c r="M80" s="4" t="s">
        <v>57</v>
      </c>
      <c r="N80" s="8">
        <v>4</v>
      </c>
      <c r="Q80" s="15" t="s">
        <v>69</v>
      </c>
      <c r="R80">
        <v>23</v>
      </c>
    </row>
    <row r="81" spans="1:18" x14ac:dyDescent="0.2">
      <c r="A81" s="4" t="s">
        <v>62</v>
      </c>
      <c r="B81" s="8">
        <v>49</v>
      </c>
      <c r="I81" s="4" t="s">
        <v>158</v>
      </c>
      <c r="J81" s="5">
        <v>51</v>
      </c>
      <c r="M81" s="4" t="s">
        <v>62</v>
      </c>
      <c r="N81" s="8">
        <v>49</v>
      </c>
      <c r="Q81" s="15" t="s">
        <v>67</v>
      </c>
      <c r="R81">
        <v>197</v>
      </c>
    </row>
    <row r="82" spans="1:18" x14ac:dyDescent="0.2">
      <c r="A82" s="4" t="s">
        <v>56</v>
      </c>
      <c r="B82" s="8">
        <v>27</v>
      </c>
      <c r="I82" s="4" t="s">
        <v>138</v>
      </c>
      <c r="J82" s="5">
        <v>111.9</v>
      </c>
      <c r="M82" s="4" t="s">
        <v>56</v>
      </c>
      <c r="N82" s="8">
        <v>27</v>
      </c>
      <c r="Q82" s="15" t="s">
        <v>71</v>
      </c>
      <c r="R82">
        <v>412</v>
      </c>
    </row>
    <row r="83" spans="1:18" x14ac:dyDescent="0.2">
      <c r="A83" s="4" t="s">
        <v>52</v>
      </c>
      <c r="B83" s="8">
        <v>265</v>
      </c>
      <c r="I83" s="4" t="s">
        <v>136</v>
      </c>
      <c r="J83" s="5">
        <v>76.040000000000006</v>
      </c>
      <c r="M83" s="4" t="s">
        <v>52</v>
      </c>
      <c r="N83" s="8">
        <v>265</v>
      </c>
      <c r="Q83" s="15" t="s">
        <v>544</v>
      </c>
      <c r="R83">
        <v>77</v>
      </c>
    </row>
    <row r="84" spans="1:18" x14ac:dyDescent="0.2">
      <c r="A84" s="4" t="s">
        <v>57</v>
      </c>
      <c r="B84" s="8">
        <v>59</v>
      </c>
      <c r="I84" s="4" t="s">
        <v>181</v>
      </c>
      <c r="J84" s="5">
        <v>96.55</v>
      </c>
      <c r="M84" s="4" t="s">
        <v>57</v>
      </c>
      <c r="N84" s="8">
        <v>59</v>
      </c>
      <c r="Q84" s="15" t="s">
        <v>68</v>
      </c>
      <c r="R84">
        <v>18</v>
      </c>
    </row>
    <row r="85" spans="1:18" x14ac:dyDescent="0.2">
      <c r="A85" s="4" t="s">
        <v>62</v>
      </c>
      <c r="B85" s="8">
        <v>77</v>
      </c>
      <c r="I85" s="4" t="s">
        <v>135</v>
      </c>
      <c r="J85" s="5">
        <v>302.08999999999997</v>
      </c>
      <c r="M85" s="4" t="s">
        <v>62</v>
      </c>
      <c r="N85" s="8">
        <v>77</v>
      </c>
      <c r="Q85" s="15" t="s">
        <v>66</v>
      </c>
      <c r="R85">
        <v>39</v>
      </c>
    </row>
    <row r="86" spans="1:18" x14ac:dyDescent="0.2">
      <c r="A86" s="4" t="s">
        <v>59</v>
      </c>
      <c r="B86" s="8">
        <v>49</v>
      </c>
      <c r="I86" s="4" t="s">
        <v>132</v>
      </c>
      <c r="J86" s="5">
        <v>234.7</v>
      </c>
      <c r="M86" s="4" t="s">
        <v>59</v>
      </c>
      <c r="N86" s="8">
        <v>49</v>
      </c>
      <c r="Q86" s="15" t="s">
        <v>70</v>
      </c>
      <c r="R86">
        <v>370</v>
      </c>
    </row>
    <row r="87" spans="1:18" x14ac:dyDescent="0.2">
      <c r="A87" s="4" t="s">
        <v>64</v>
      </c>
      <c r="B87" s="5">
        <v>18</v>
      </c>
      <c r="I87" s="4" t="s">
        <v>134</v>
      </c>
      <c r="J87" s="5">
        <v>286.02999999999997</v>
      </c>
      <c r="M87" s="4" t="s">
        <v>64</v>
      </c>
      <c r="N87" s="5">
        <v>18</v>
      </c>
      <c r="Q87" s="15" t="s">
        <v>168</v>
      </c>
      <c r="R87">
        <v>502.97</v>
      </c>
    </row>
    <row r="88" spans="1:18" x14ac:dyDescent="0.2">
      <c r="A88" s="4" t="s">
        <v>66</v>
      </c>
      <c r="B88" s="5">
        <v>5</v>
      </c>
      <c r="I88" s="4" t="s">
        <v>152</v>
      </c>
      <c r="J88" s="5">
        <v>115.6</v>
      </c>
      <c r="M88" s="4" t="s">
        <v>66</v>
      </c>
      <c r="N88" s="5">
        <v>5</v>
      </c>
      <c r="Q88" s="15" t="s">
        <v>172</v>
      </c>
      <c r="R88">
        <v>320.26</v>
      </c>
    </row>
    <row r="89" spans="1:18" x14ac:dyDescent="0.2">
      <c r="A89" s="4" t="s">
        <v>67</v>
      </c>
      <c r="B89" s="5">
        <v>34</v>
      </c>
      <c r="I89" s="4" t="s">
        <v>182</v>
      </c>
      <c r="J89" s="5">
        <v>200</v>
      </c>
      <c r="M89" s="4" t="s">
        <v>67</v>
      </c>
      <c r="N89" s="5">
        <v>34</v>
      </c>
      <c r="Q89" s="15" t="s">
        <v>166</v>
      </c>
      <c r="R89">
        <v>401.11</v>
      </c>
    </row>
    <row r="90" spans="1:18" x14ac:dyDescent="0.2">
      <c r="A90" s="4" t="s">
        <v>68</v>
      </c>
      <c r="B90" s="5">
        <v>18</v>
      </c>
      <c r="I90" s="4" t="s">
        <v>150</v>
      </c>
      <c r="J90" s="5">
        <v>181.89</v>
      </c>
      <c r="M90" s="4" t="s">
        <v>68</v>
      </c>
      <c r="N90" s="5">
        <v>18</v>
      </c>
      <c r="Q90" s="15" t="s">
        <v>170</v>
      </c>
      <c r="R90">
        <v>595.94000000000005</v>
      </c>
    </row>
    <row r="91" spans="1:18" x14ac:dyDescent="0.2">
      <c r="A91" s="4" t="s">
        <v>66</v>
      </c>
      <c r="B91" s="5">
        <v>7</v>
      </c>
      <c r="I91" s="4" t="s">
        <v>125</v>
      </c>
      <c r="J91" s="5">
        <v>383.96</v>
      </c>
      <c r="M91" s="4" t="s">
        <v>66</v>
      </c>
      <c r="N91" s="5">
        <v>7</v>
      </c>
      <c r="Q91" s="15" t="s">
        <v>169</v>
      </c>
      <c r="R91">
        <v>868.90000000000009</v>
      </c>
    </row>
    <row r="92" spans="1:18" x14ac:dyDescent="0.2">
      <c r="A92" s="4" t="s">
        <v>69</v>
      </c>
      <c r="B92" s="5">
        <v>23</v>
      </c>
      <c r="I92" s="4" t="s">
        <v>128</v>
      </c>
      <c r="J92" s="5">
        <v>200</v>
      </c>
      <c r="M92" s="4" t="s">
        <v>69</v>
      </c>
      <c r="N92" s="5">
        <v>23</v>
      </c>
      <c r="Q92" s="15" t="s">
        <v>164</v>
      </c>
      <c r="R92">
        <v>468.96</v>
      </c>
    </row>
    <row r="93" spans="1:18" x14ac:dyDescent="0.2">
      <c r="A93" s="4" t="s">
        <v>64</v>
      </c>
      <c r="B93" s="5">
        <v>89</v>
      </c>
      <c r="I93" s="4" t="s">
        <v>123</v>
      </c>
      <c r="J93" s="5">
        <v>200</v>
      </c>
      <c r="M93" s="4" t="s">
        <v>64</v>
      </c>
      <c r="N93" s="5">
        <v>89</v>
      </c>
      <c r="Q93" s="15" t="s">
        <v>171</v>
      </c>
      <c r="R93">
        <v>41.68</v>
      </c>
    </row>
    <row r="94" spans="1:18" x14ac:dyDescent="0.2">
      <c r="A94" s="4" t="s">
        <v>66</v>
      </c>
      <c r="B94" s="5">
        <v>27</v>
      </c>
      <c r="I94" s="4" t="s">
        <v>128</v>
      </c>
      <c r="J94" s="5">
        <v>210.4</v>
      </c>
      <c r="M94" s="4" t="s">
        <v>66</v>
      </c>
      <c r="N94" s="5">
        <v>27</v>
      </c>
      <c r="Q94" s="15" t="s">
        <v>167</v>
      </c>
      <c r="R94">
        <v>721.19</v>
      </c>
    </row>
    <row r="95" spans="1:18" x14ac:dyDescent="0.2">
      <c r="A95" s="4" t="s">
        <v>64</v>
      </c>
      <c r="B95" s="5">
        <v>14</v>
      </c>
      <c r="I95" s="4" t="s">
        <v>126</v>
      </c>
      <c r="J95" s="5">
        <v>130.69999999999999</v>
      </c>
      <c r="M95" s="4" t="s">
        <v>64</v>
      </c>
      <c r="N95" s="5">
        <v>14</v>
      </c>
      <c r="Q95" s="15" t="s">
        <v>179</v>
      </c>
      <c r="R95">
        <v>243.77</v>
      </c>
    </row>
    <row r="96" spans="1:18" x14ac:dyDescent="0.2">
      <c r="A96" s="4" t="s">
        <v>70</v>
      </c>
      <c r="B96" s="5">
        <v>243</v>
      </c>
      <c r="I96" s="16" t="s">
        <v>533</v>
      </c>
      <c r="J96" s="5">
        <v>183.37</v>
      </c>
      <c r="M96" s="4" t="s">
        <v>70</v>
      </c>
      <c r="N96" s="5">
        <v>243</v>
      </c>
      <c r="Q96" s="15" t="s">
        <v>178</v>
      </c>
      <c r="R96">
        <v>203.87</v>
      </c>
    </row>
    <row r="97" spans="1:18" x14ac:dyDescent="0.2">
      <c r="A97" s="4" t="s">
        <v>71</v>
      </c>
      <c r="B97" s="5">
        <v>92</v>
      </c>
      <c r="I97" s="4" t="s">
        <v>183</v>
      </c>
      <c r="J97" s="5">
        <v>793.96</v>
      </c>
      <c r="M97" s="4" t="s">
        <v>71</v>
      </c>
      <c r="N97" s="5">
        <v>92</v>
      </c>
      <c r="Q97" s="15" t="s">
        <v>173</v>
      </c>
      <c r="R97">
        <v>385.16</v>
      </c>
    </row>
    <row r="98" spans="1:18" x14ac:dyDescent="0.2">
      <c r="A98" s="4" t="s">
        <v>67</v>
      </c>
      <c r="B98" s="5">
        <v>163</v>
      </c>
      <c r="I98" s="16" t="s">
        <v>534</v>
      </c>
      <c r="J98" s="5">
        <v>41.66</v>
      </c>
      <c r="M98" s="4" t="s">
        <v>67</v>
      </c>
      <c r="N98" s="5">
        <v>163</v>
      </c>
      <c r="Q98" s="15" t="s">
        <v>177</v>
      </c>
      <c r="R98">
        <v>550.04</v>
      </c>
    </row>
    <row r="99" spans="1:18" x14ac:dyDescent="0.2">
      <c r="A99" s="4" t="s">
        <v>64</v>
      </c>
      <c r="B99" s="5">
        <v>320</v>
      </c>
      <c r="I99" s="4" t="s">
        <v>184</v>
      </c>
      <c r="J99" s="5">
        <v>839.74</v>
      </c>
      <c r="M99" s="16" t="s">
        <v>537</v>
      </c>
      <c r="N99" s="5">
        <v>320</v>
      </c>
      <c r="Q99" s="15" t="s">
        <v>176</v>
      </c>
      <c r="R99">
        <v>1229.5900000000001</v>
      </c>
    </row>
    <row r="100" spans="1:18" x14ac:dyDescent="0.2">
      <c r="A100" s="4" t="s">
        <v>64</v>
      </c>
      <c r="B100" s="5">
        <v>127</v>
      </c>
      <c r="I100" s="4" t="s">
        <v>185</v>
      </c>
      <c r="J100" s="5">
        <v>61.2</v>
      </c>
      <c r="M100" s="16" t="s">
        <v>546</v>
      </c>
      <c r="N100" s="5">
        <v>127</v>
      </c>
      <c r="Q100" s="15" t="s">
        <v>174</v>
      </c>
      <c r="R100">
        <v>891.01</v>
      </c>
    </row>
    <row r="101" spans="1:18" x14ac:dyDescent="0.2">
      <c r="A101" s="4" t="s">
        <v>64</v>
      </c>
      <c r="B101" s="5">
        <v>77</v>
      </c>
      <c r="I101" s="4" t="s">
        <v>185</v>
      </c>
      <c r="J101" s="5">
        <v>25.6</v>
      </c>
      <c r="M101" s="16" t="s">
        <v>545</v>
      </c>
      <c r="N101" s="5">
        <v>77</v>
      </c>
      <c r="Q101" s="15" t="s">
        <v>175</v>
      </c>
      <c r="R101">
        <v>61.65</v>
      </c>
    </row>
    <row r="102" spans="1:18" x14ac:dyDescent="0.2">
      <c r="A102" s="4" t="s">
        <v>72</v>
      </c>
      <c r="B102" s="5">
        <v>667</v>
      </c>
      <c r="I102" s="4" t="s">
        <v>170</v>
      </c>
      <c r="J102" s="5">
        <v>240</v>
      </c>
      <c r="M102" s="4" t="s">
        <v>72</v>
      </c>
      <c r="N102" s="5">
        <v>667</v>
      </c>
      <c r="Q102" s="15" t="s">
        <v>144</v>
      </c>
      <c r="R102">
        <v>92.52</v>
      </c>
    </row>
    <row r="103" spans="1:18" x14ac:dyDescent="0.2">
      <c r="A103" s="4" t="s">
        <v>74</v>
      </c>
      <c r="B103" s="5">
        <v>510</v>
      </c>
      <c r="M103" s="4" t="s">
        <v>74</v>
      </c>
      <c r="N103" s="5">
        <v>510</v>
      </c>
      <c r="Q103" s="15" t="s">
        <v>146</v>
      </c>
      <c r="R103">
        <v>316.14</v>
      </c>
    </row>
    <row r="104" spans="1:18" x14ac:dyDescent="0.2">
      <c r="A104" s="4" t="s">
        <v>75</v>
      </c>
      <c r="B104" s="5">
        <v>1316</v>
      </c>
      <c r="M104" s="4" t="s">
        <v>75</v>
      </c>
      <c r="N104" s="5">
        <v>1316</v>
      </c>
      <c r="Q104" s="15" t="s">
        <v>185</v>
      </c>
      <c r="R104">
        <v>86.800000000000011</v>
      </c>
    </row>
    <row r="105" spans="1:18" x14ac:dyDescent="0.2">
      <c r="A105" s="4" t="s">
        <v>74</v>
      </c>
      <c r="B105" s="5">
        <v>1131</v>
      </c>
      <c r="M105" s="4" t="s">
        <v>74</v>
      </c>
      <c r="N105" s="5">
        <v>1131</v>
      </c>
      <c r="Q105" s="15" t="s">
        <v>141</v>
      </c>
      <c r="R105">
        <v>92.79</v>
      </c>
    </row>
    <row r="106" spans="1:18" x14ac:dyDescent="0.2">
      <c r="A106" s="4" t="s">
        <v>78</v>
      </c>
      <c r="B106" s="5">
        <v>468</v>
      </c>
      <c r="M106" s="4" t="s">
        <v>78</v>
      </c>
      <c r="N106" s="5">
        <v>468</v>
      </c>
      <c r="Q106" s="15" t="s">
        <v>143</v>
      </c>
      <c r="R106">
        <v>40</v>
      </c>
    </row>
    <row r="107" spans="1:18" x14ac:dyDescent="0.2">
      <c r="A107" s="4" t="s">
        <v>79</v>
      </c>
      <c r="B107" s="5">
        <v>118</v>
      </c>
      <c r="M107" s="4" t="s">
        <v>79</v>
      </c>
      <c r="N107" s="5">
        <v>118</v>
      </c>
      <c r="Q107" s="15" t="s">
        <v>145</v>
      </c>
      <c r="R107">
        <v>26.65</v>
      </c>
    </row>
    <row r="108" spans="1:18" x14ac:dyDescent="0.2">
      <c r="A108" s="4" t="s">
        <v>81</v>
      </c>
      <c r="B108" s="5">
        <v>20</v>
      </c>
      <c r="M108" s="4" t="s">
        <v>81</v>
      </c>
      <c r="N108" s="5">
        <v>20</v>
      </c>
      <c r="Q108" s="15" t="s">
        <v>153</v>
      </c>
      <c r="R108">
        <v>64.400000000000006</v>
      </c>
    </row>
    <row r="109" spans="1:18" x14ac:dyDescent="0.2">
      <c r="A109" s="4" t="s">
        <v>82</v>
      </c>
      <c r="B109" s="5">
        <v>30</v>
      </c>
      <c r="M109" s="4" t="s">
        <v>82</v>
      </c>
      <c r="N109" s="5">
        <v>30</v>
      </c>
      <c r="Q109" s="15" t="s">
        <v>154</v>
      </c>
      <c r="R109">
        <v>67.209999999999994</v>
      </c>
    </row>
    <row r="110" spans="1:18" x14ac:dyDescent="0.2">
      <c r="A110" s="4" t="s">
        <v>83</v>
      </c>
      <c r="B110" s="5">
        <v>127</v>
      </c>
      <c r="M110" s="4" t="s">
        <v>83</v>
      </c>
      <c r="N110" s="5">
        <v>127</v>
      </c>
      <c r="Q110" s="15" t="s">
        <v>147</v>
      </c>
      <c r="R110">
        <v>858.3</v>
      </c>
    </row>
    <row r="111" spans="1:18" x14ac:dyDescent="0.2">
      <c r="A111" s="4" t="s">
        <v>78</v>
      </c>
      <c r="B111" s="5">
        <v>119</v>
      </c>
      <c r="M111" s="4" t="s">
        <v>78</v>
      </c>
      <c r="N111" s="5">
        <v>119</v>
      </c>
      <c r="Q111" s="15" t="s">
        <v>152</v>
      </c>
      <c r="R111">
        <v>807.33</v>
      </c>
    </row>
    <row r="112" spans="1:18" x14ac:dyDescent="0.2">
      <c r="A112" s="4" t="s">
        <v>84</v>
      </c>
      <c r="B112" s="5">
        <v>21</v>
      </c>
      <c r="M112" s="4" t="s">
        <v>84</v>
      </c>
      <c r="N112" s="5">
        <v>21</v>
      </c>
      <c r="Q112" s="15" t="s">
        <v>182</v>
      </c>
      <c r="R112">
        <v>200</v>
      </c>
    </row>
    <row r="113" spans="1:18" x14ac:dyDescent="0.2">
      <c r="A113" s="4" t="s">
        <v>85</v>
      </c>
      <c r="B113" s="5">
        <v>52</v>
      </c>
      <c r="M113" s="4" t="s">
        <v>85</v>
      </c>
      <c r="N113" s="5">
        <v>52</v>
      </c>
      <c r="Q113" s="15" t="s">
        <v>151</v>
      </c>
      <c r="R113">
        <v>505.29</v>
      </c>
    </row>
    <row r="114" spans="1:18" x14ac:dyDescent="0.2">
      <c r="A114" s="4" t="s">
        <v>86</v>
      </c>
      <c r="B114" s="5">
        <v>9</v>
      </c>
      <c r="M114" s="4" t="s">
        <v>86</v>
      </c>
      <c r="N114" s="5">
        <v>9</v>
      </c>
      <c r="Q114" s="15" t="s">
        <v>149</v>
      </c>
      <c r="R114">
        <v>347.53</v>
      </c>
    </row>
    <row r="115" spans="1:18" x14ac:dyDescent="0.2">
      <c r="A115" s="4" t="s">
        <v>87</v>
      </c>
      <c r="B115" s="5">
        <v>29</v>
      </c>
      <c r="M115" s="4" t="s">
        <v>87</v>
      </c>
      <c r="N115" s="5">
        <v>29</v>
      </c>
      <c r="Q115" s="15" t="s">
        <v>150</v>
      </c>
      <c r="R115">
        <v>742.3</v>
      </c>
    </row>
    <row r="116" spans="1:18" x14ac:dyDescent="0.2">
      <c r="A116" s="4" t="s">
        <v>85</v>
      </c>
      <c r="B116" s="5">
        <v>153</v>
      </c>
      <c r="M116" s="4" t="s">
        <v>85</v>
      </c>
      <c r="N116" s="5">
        <v>153</v>
      </c>
      <c r="Q116" s="15" t="s">
        <v>140</v>
      </c>
      <c r="R116">
        <v>1538.29</v>
      </c>
    </row>
    <row r="117" spans="1:18" x14ac:dyDescent="0.2">
      <c r="A117" s="4" t="s">
        <v>88</v>
      </c>
      <c r="B117" s="5">
        <v>88</v>
      </c>
      <c r="M117" s="16" t="s">
        <v>542</v>
      </c>
      <c r="N117" s="5">
        <v>88</v>
      </c>
      <c r="Q117" s="15" t="s">
        <v>155</v>
      </c>
      <c r="R117">
        <v>1020.28</v>
      </c>
    </row>
    <row r="118" spans="1:18" x14ac:dyDescent="0.2">
      <c r="A118" s="4" t="s">
        <v>79</v>
      </c>
      <c r="B118" s="5">
        <v>27</v>
      </c>
      <c r="M118" s="4" t="s">
        <v>79</v>
      </c>
      <c r="N118" s="5">
        <v>27</v>
      </c>
      <c r="Q118" s="15" t="s">
        <v>159</v>
      </c>
      <c r="R118">
        <v>234.23</v>
      </c>
    </row>
    <row r="119" spans="1:18" x14ac:dyDescent="0.2">
      <c r="A119" s="4" t="s">
        <v>79</v>
      </c>
      <c r="B119" s="5">
        <v>226</v>
      </c>
      <c r="M119" s="4" t="s">
        <v>79</v>
      </c>
      <c r="N119" s="5">
        <v>226</v>
      </c>
      <c r="Q119" s="15" t="s">
        <v>157</v>
      </c>
      <c r="R119">
        <v>436.17999999999995</v>
      </c>
    </row>
    <row r="120" spans="1:18" x14ac:dyDescent="0.2">
      <c r="A120" s="4" t="s">
        <v>89</v>
      </c>
      <c r="B120" s="5">
        <v>90</v>
      </c>
      <c r="M120" s="4" t="s">
        <v>89</v>
      </c>
      <c r="N120" s="5">
        <v>90</v>
      </c>
      <c r="Q120" s="15" t="s">
        <v>184</v>
      </c>
      <c r="R120">
        <v>1023.11</v>
      </c>
    </row>
    <row r="121" spans="1:18" x14ac:dyDescent="0.2">
      <c r="A121" s="4" t="s">
        <v>90</v>
      </c>
      <c r="B121" s="5">
        <v>436</v>
      </c>
      <c r="M121" s="16" t="s">
        <v>539</v>
      </c>
      <c r="N121" s="5">
        <v>436</v>
      </c>
      <c r="Q121" s="15" t="s">
        <v>183</v>
      </c>
      <c r="R121">
        <v>793.96</v>
      </c>
    </row>
    <row r="122" spans="1:18" x14ac:dyDescent="0.2">
      <c r="A122" s="4" t="s">
        <v>17</v>
      </c>
      <c r="B122" s="5">
        <v>17</v>
      </c>
      <c r="M122" s="4" t="s">
        <v>17</v>
      </c>
      <c r="N122" s="5">
        <v>17</v>
      </c>
      <c r="Q122" s="15" t="s">
        <v>162</v>
      </c>
      <c r="R122">
        <v>142.13</v>
      </c>
    </row>
    <row r="123" spans="1:18" x14ac:dyDescent="0.2">
      <c r="A123" s="4" t="s">
        <v>64</v>
      </c>
      <c r="B123" s="5">
        <v>93</v>
      </c>
      <c r="M123" s="4" t="s">
        <v>64</v>
      </c>
      <c r="N123" s="5">
        <v>93</v>
      </c>
      <c r="Q123" s="15" t="s">
        <v>161</v>
      </c>
      <c r="R123">
        <v>82.699999999999989</v>
      </c>
    </row>
    <row r="124" spans="1:18" x14ac:dyDescent="0.2">
      <c r="A124" s="4" t="s">
        <v>79</v>
      </c>
      <c r="B124" s="5">
        <v>28</v>
      </c>
      <c r="M124" s="4" t="s">
        <v>79</v>
      </c>
      <c r="N124" s="5">
        <v>28</v>
      </c>
      <c r="Q124" s="15" t="s">
        <v>158</v>
      </c>
      <c r="R124">
        <v>425.58000000000004</v>
      </c>
    </row>
    <row r="125" spans="1:18" x14ac:dyDescent="0.2">
      <c r="A125" s="4" t="s">
        <v>84</v>
      </c>
      <c r="B125" s="5">
        <v>103</v>
      </c>
      <c r="M125" s="4" t="s">
        <v>84</v>
      </c>
      <c r="N125" s="5">
        <v>103</v>
      </c>
      <c r="Q125" s="15" t="s">
        <v>160</v>
      </c>
      <c r="R125">
        <v>149.59</v>
      </c>
    </row>
    <row r="126" spans="1:18" x14ac:dyDescent="0.2">
      <c r="A126" s="4" t="s">
        <v>91</v>
      </c>
      <c r="B126" s="5">
        <v>43</v>
      </c>
      <c r="M126" s="4" t="s">
        <v>91</v>
      </c>
      <c r="N126" s="5">
        <v>43</v>
      </c>
      <c r="Q126" s="15" t="s">
        <v>163</v>
      </c>
      <c r="R126">
        <v>654.96</v>
      </c>
    </row>
    <row r="127" spans="1:18" x14ac:dyDescent="0.2">
      <c r="A127" s="4" t="s">
        <v>59</v>
      </c>
      <c r="B127" s="5">
        <v>89</v>
      </c>
      <c r="M127" s="4" t="s">
        <v>59</v>
      </c>
      <c r="N127" s="5">
        <v>89</v>
      </c>
      <c r="Q127" s="15" t="s">
        <v>129</v>
      </c>
      <c r="R127">
        <v>375.83</v>
      </c>
    </row>
    <row r="128" spans="1:18" x14ac:dyDescent="0.2">
      <c r="A128" s="4" t="s">
        <v>92</v>
      </c>
      <c r="B128" s="5">
        <v>324</v>
      </c>
      <c r="M128" s="4" t="s">
        <v>92</v>
      </c>
      <c r="N128" s="5">
        <v>324</v>
      </c>
      <c r="Q128" s="15" t="s">
        <v>130</v>
      </c>
      <c r="R128">
        <v>115.72</v>
      </c>
    </row>
    <row r="129" spans="1:18" x14ac:dyDescent="0.2">
      <c r="A129" t="s">
        <v>94</v>
      </c>
      <c r="B129" s="5">
        <v>373</v>
      </c>
      <c r="M129" t="s">
        <v>94</v>
      </c>
      <c r="N129" s="5">
        <v>373</v>
      </c>
      <c r="Q129" s="15" t="s">
        <v>120</v>
      </c>
      <c r="R129">
        <v>1043.97</v>
      </c>
    </row>
    <row r="130" spans="1:18" x14ac:dyDescent="0.2">
      <c r="A130" s="4" t="s">
        <v>90</v>
      </c>
      <c r="B130" s="5">
        <v>92</v>
      </c>
      <c r="M130" s="4" t="s">
        <v>90</v>
      </c>
      <c r="N130" s="5">
        <v>92</v>
      </c>
      <c r="Q130" s="15" t="s">
        <v>123</v>
      </c>
      <c r="R130">
        <v>3435.12</v>
      </c>
    </row>
    <row r="131" spans="1:18" x14ac:dyDescent="0.2">
      <c r="A131" s="4" t="s">
        <v>87</v>
      </c>
      <c r="B131" s="5">
        <v>19</v>
      </c>
      <c r="M131" s="4" t="s">
        <v>87</v>
      </c>
      <c r="N131" s="5">
        <v>19</v>
      </c>
      <c r="Q131" s="15" t="s">
        <v>125</v>
      </c>
      <c r="R131">
        <v>2229.9899999999998</v>
      </c>
    </row>
    <row r="132" spans="1:18" x14ac:dyDescent="0.2">
      <c r="A132" s="4" t="s">
        <v>90</v>
      </c>
      <c r="B132" s="5">
        <v>47</v>
      </c>
      <c r="M132" s="4" t="s">
        <v>90</v>
      </c>
      <c r="N132" s="5">
        <v>47</v>
      </c>
      <c r="Q132" s="15" t="s">
        <v>126</v>
      </c>
      <c r="R132">
        <v>1417.91</v>
      </c>
    </row>
    <row r="133" spans="1:18" x14ac:dyDescent="0.2">
      <c r="A133" s="4" t="s">
        <v>90</v>
      </c>
      <c r="B133" s="5">
        <v>37</v>
      </c>
      <c r="M133" s="4" t="s">
        <v>90</v>
      </c>
      <c r="N133" s="5">
        <v>37</v>
      </c>
      <c r="Q133" s="15" t="s">
        <v>122</v>
      </c>
      <c r="R133">
        <v>71.41</v>
      </c>
    </row>
    <row r="134" spans="1:18" x14ac:dyDescent="0.2">
      <c r="A134" s="4" t="s">
        <v>64</v>
      </c>
      <c r="B134" s="5">
        <v>35</v>
      </c>
      <c r="M134" s="4" t="s">
        <v>64</v>
      </c>
      <c r="N134" s="5">
        <v>35</v>
      </c>
      <c r="Q134" s="15" t="s">
        <v>124</v>
      </c>
      <c r="R134">
        <v>29.14</v>
      </c>
    </row>
    <row r="135" spans="1:18" x14ac:dyDescent="0.2">
      <c r="A135" s="4" t="s">
        <v>64</v>
      </c>
      <c r="B135" s="5">
        <v>248</v>
      </c>
      <c r="M135" s="4" t="s">
        <v>64</v>
      </c>
      <c r="N135" s="5">
        <v>248</v>
      </c>
      <c r="Q135" s="15" t="s">
        <v>127</v>
      </c>
      <c r="R135">
        <v>723.26</v>
      </c>
    </row>
    <row r="136" spans="1:18" x14ac:dyDescent="0.2">
      <c r="A136" s="4" t="s">
        <v>17</v>
      </c>
      <c r="B136" s="5">
        <v>259</v>
      </c>
      <c r="M136" s="4" t="s">
        <v>17</v>
      </c>
      <c r="N136" s="5">
        <v>259</v>
      </c>
      <c r="Q136" s="15" t="s">
        <v>128</v>
      </c>
      <c r="R136">
        <v>1269.8800000000001</v>
      </c>
    </row>
    <row r="137" spans="1:18" x14ac:dyDescent="0.2">
      <c r="A137" s="4" t="s">
        <v>17</v>
      </c>
      <c r="B137" s="5">
        <v>229</v>
      </c>
      <c r="M137" s="4" t="s">
        <v>17</v>
      </c>
      <c r="N137" s="5">
        <v>229</v>
      </c>
      <c r="Q137" s="15" t="s">
        <v>131</v>
      </c>
      <c r="R137">
        <v>24.36</v>
      </c>
    </row>
    <row r="138" spans="1:18" x14ac:dyDescent="0.2">
      <c r="A138" s="4" t="s">
        <v>88</v>
      </c>
      <c r="B138" s="5">
        <v>28</v>
      </c>
      <c r="M138" s="4" t="s">
        <v>88</v>
      </c>
      <c r="N138" s="5">
        <v>28</v>
      </c>
      <c r="Q138" s="15" t="s">
        <v>135</v>
      </c>
      <c r="R138">
        <v>885.24</v>
      </c>
    </row>
    <row r="139" spans="1:18" x14ac:dyDescent="0.2">
      <c r="A139" s="4" t="s">
        <v>85</v>
      </c>
      <c r="B139" s="5">
        <v>30</v>
      </c>
      <c r="M139" s="4" t="s">
        <v>85</v>
      </c>
      <c r="N139" s="5">
        <v>30</v>
      </c>
      <c r="Q139" s="15" t="s">
        <v>132</v>
      </c>
      <c r="R139">
        <v>798.66000000000008</v>
      </c>
    </row>
    <row r="140" spans="1:18" x14ac:dyDescent="0.2">
      <c r="A140" t="s">
        <v>94</v>
      </c>
      <c r="B140" s="5">
        <v>94</v>
      </c>
      <c r="M140" t="s">
        <v>94</v>
      </c>
      <c r="N140" s="5">
        <v>94</v>
      </c>
      <c r="Q140" s="15" t="s">
        <v>136</v>
      </c>
      <c r="R140">
        <v>637.41</v>
      </c>
    </row>
    <row r="141" spans="1:18" x14ac:dyDescent="0.2">
      <c r="A141" s="4" t="s">
        <v>42</v>
      </c>
      <c r="B141" s="5">
        <v>28</v>
      </c>
      <c r="M141" s="4" t="s">
        <v>42</v>
      </c>
      <c r="N141" s="5">
        <v>28</v>
      </c>
      <c r="Q141" s="15" t="s">
        <v>181</v>
      </c>
      <c r="R141">
        <v>96.55</v>
      </c>
    </row>
    <row r="142" spans="1:18" x14ac:dyDescent="0.2">
      <c r="A142" s="4" t="s">
        <v>98</v>
      </c>
      <c r="B142" s="5">
        <v>158</v>
      </c>
      <c r="M142" s="4" t="s">
        <v>98</v>
      </c>
      <c r="N142" s="5">
        <v>158</v>
      </c>
      <c r="Q142" s="15" t="s">
        <v>139</v>
      </c>
      <c r="R142">
        <v>282.3</v>
      </c>
    </row>
    <row r="143" spans="1:18" x14ac:dyDescent="0.2">
      <c r="A143" t="s">
        <v>94</v>
      </c>
      <c r="B143" s="5">
        <v>83</v>
      </c>
      <c r="M143" t="s">
        <v>94</v>
      </c>
      <c r="N143" s="5">
        <v>83</v>
      </c>
      <c r="Q143" s="15" t="s">
        <v>138</v>
      </c>
      <c r="R143">
        <v>644.87</v>
      </c>
    </row>
    <row r="144" spans="1:18" x14ac:dyDescent="0.2">
      <c r="A144" s="4" t="s">
        <v>17</v>
      </c>
      <c r="B144" s="5">
        <v>252</v>
      </c>
      <c r="M144" s="4" t="s">
        <v>17</v>
      </c>
      <c r="N144" s="5">
        <v>252</v>
      </c>
      <c r="Q144" s="15" t="s">
        <v>134</v>
      </c>
      <c r="R144">
        <v>1170.26</v>
      </c>
    </row>
    <row r="145" spans="1:18" x14ac:dyDescent="0.2">
      <c r="A145" s="4" t="s">
        <v>59</v>
      </c>
      <c r="B145" s="5">
        <v>53</v>
      </c>
      <c r="M145" s="4" t="s">
        <v>59</v>
      </c>
      <c r="N145" s="5">
        <v>53</v>
      </c>
      <c r="Q145" s="15" t="s">
        <v>137</v>
      </c>
      <c r="R145">
        <v>467.98</v>
      </c>
    </row>
    <row r="146" spans="1:18" x14ac:dyDescent="0.2">
      <c r="A146" s="4" t="s">
        <v>59</v>
      </c>
      <c r="B146" s="5">
        <v>72</v>
      </c>
      <c r="M146" s="4" t="s">
        <v>59</v>
      </c>
      <c r="N146" s="5">
        <v>72</v>
      </c>
      <c r="Q146" s="15" t="s">
        <v>101</v>
      </c>
      <c r="R146">
        <v>9</v>
      </c>
    </row>
    <row r="147" spans="1:18" x14ac:dyDescent="0.2">
      <c r="A147" s="11" t="s">
        <v>101</v>
      </c>
      <c r="B147" s="5">
        <v>6</v>
      </c>
      <c r="M147" s="11" t="s">
        <v>101</v>
      </c>
      <c r="N147" s="5">
        <v>6</v>
      </c>
      <c r="Q147" s="15" t="s">
        <v>105</v>
      </c>
      <c r="R147">
        <v>57</v>
      </c>
    </row>
    <row r="148" spans="1:18" x14ac:dyDescent="0.2">
      <c r="A148" s="11" t="s">
        <v>101</v>
      </c>
      <c r="B148" s="5">
        <v>3</v>
      </c>
      <c r="M148" s="11" t="s">
        <v>101</v>
      </c>
      <c r="N148" s="5">
        <v>3</v>
      </c>
      <c r="Q148" s="15" t="s">
        <v>104</v>
      </c>
      <c r="R148">
        <v>180</v>
      </c>
    </row>
    <row r="149" spans="1:18" x14ac:dyDescent="0.2">
      <c r="A149" s="4" t="s">
        <v>103</v>
      </c>
      <c r="B149" s="5">
        <v>286</v>
      </c>
      <c r="M149" s="4" t="s">
        <v>103</v>
      </c>
      <c r="N149" s="5">
        <v>286</v>
      </c>
      <c r="Q149" s="15" t="s">
        <v>96</v>
      </c>
      <c r="R149">
        <v>112</v>
      </c>
    </row>
    <row r="150" spans="1:18" x14ac:dyDescent="0.2">
      <c r="A150" s="11" t="s">
        <v>104</v>
      </c>
      <c r="B150" s="5">
        <v>78</v>
      </c>
      <c r="M150" s="11" t="s">
        <v>104</v>
      </c>
      <c r="N150" s="5">
        <v>78</v>
      </c>
      <c r="Q150" s="15" t="s">
        <v>94</v>
      </c>
      <c r="R150">
        <v>817</v>
      </c>
    </row>
    <row r="151" spans="1:18" x14ac:dyDescent="0.2">
      <c r="A151" s="11" t="s">
        <v>105</v>
      </c>
      <c r="B151" s="5">
        <v>57</v>
      </c>
      <c r="M151" s="11" t="s">
        <v>105</v>
      </c>
      <c r="N151" s="5">
        <v>57</v>
      </c>
      <c r="Q151" s="15" t="s">
        <v>528</v>
      </c>
      <c r="R151">
        <v>54179.230000000025</v>
      </c>
    </row>
    <row r="152" spans="1:18" x14ac:dyDescent="0.2">
      <c r="A152" s="4" t="s">
        <v>103</v>
      </c>
      <c r="B152" s="5">
        <v>16</v>
      </c>
      <c r="M152" s="4" t="s">
        <v>103</v>
      </c>
      <c r="N152" s="5">
        <v>16</v>
      </c>
    </row>
    <row r="153" spans="1:18" x14ac:dyDescent="0.2">
      <c r="A153" s="4" t="s">
        <v>103</v>
      </c>
      <c r="B153" s="5">
        <v>238</v>
      </c>
      <c r="M153" s="4" t="s">
        <v>103</v>
      </c>
      <c r="N153" s="5">
        <v>238</v>
      </c>
    </row>
    <row r="154" spans="1:18" x14ac:dyDescent="0.2">
      <c r="A154" s="4" t="s">
        <v>107</v>
      </c>
      <c r="B154" s="5">
        <v>231</v>
      </c>
      <c r="M154" s="4" t="s">
        <v>107</v>
      </c>
      <c r="N154" s="5">
        <v>231</v>
      </c>
    </row>
    <row r="155" spans="1:18" x14ac:dyDescent="0.2">
      <c r="A155" s="4" t="s">
        <v>108</v>
      </c>
      <c r="B155" s="5">
        <v>37</v>
      </c>
      <c r="M155" s="4" t="s">
        <v>108</v>
      </c>
      <c r="N155" s="5">
        <v>37</v>
      </c>
    </row>
    <row r="156" spans="1:18" x14ac:dyDescent="0.2">
      <c r="A156" s="4" t="s">
        <v>74</v>
      </c>
      <c r="B156" s="5">
        <v>24</v>
      </c>
      <c r="M156" s="4" t="s">
        <v>74</v>
      </c>
      <c r="N156" s="5">
        <v>24</v>
      </c>
    </row>
    <row r="157" spans="1:18" x14ac:dyDescent="0.2">
      <c r="A157" s="4" t="s">
        <v>109</v>
      </c>
      <c r="B157" s="5">
        <v>118</v>
      </c>
      <c r="M157" s="4" t="s">
        <v>109</v>
      </c>
      <c r="N157" s="5">
        <v>118</v>
      </c>
    </row>
    <row r="158" spans="1:18" x14ac:dyDescent="0.2">
      <c r="A158" s="4" t="s">
        <v>110</v>
      </c>
      <c r="B158" s="5">
        <v>41</v>
      </c>
      <c r="M158" s="4" t="s">
        <v>110</v>
      </c>
      <c r="N158" s="5">
        <v>41</v>
      </c>
    </row>
    <row r="159" spans="1:18" x14ac:dyDescent="0.2">
      <c r="A159" s="4" t="s">
        <v>111</v>
      </c>
      <c r="B159" s="5">
        <v>29</v>
      </c>
      <c r="M159" s="4" t="s">
        <v>111</v>
      </c>
      <c r="N159" s="5">
        <v>29</v>
      </c>
    </row>
    <row r="160" spans="1:18" x14ac:dyDescent="0.2">
      <c r="A160" s="4" t="s">
        <v>112</v>
      </c>
      <c r="B160" s="5">
        <v>247</v>
      </c>
      <c r="M160" s="4" t="s">
        <v>112</v>
      </c>
      <c r="N160" s="5">
        <v>247</v>
      </c>
    </row>
    <row r="161" spans="1:14" x14ac:dyDescent="0.2">
      <c r="A161" s="4" t="s">
        <v>113</v>
      </c>
      <c r="B161" s="5">
        <v>78</v>
      </c>
      <c r="M161" s="4" t="s">
        <v>113</v>
      </c>
      <c r="N161" s="5">
        <v>78</v>
      </c>
    </row>
    <row r="162" spans="1:14" x14ac:dyDescent="0.2">
      <c r="A162" t="s">
        <v>104</v>
      </c>
      <c r="B162" s="5">
        <v>102</v>
      </c>
      <c r="M162" t="s">
        <v>104</v>
      </c>
      <c r="N162" s="5">
        <v>102</v>
      </c>
    </row>
    <row r="163" spans="1:14" x14ac:dyDescent="0.2">
      <c r="A163" s="4" t="s">
        <v>114</v>
      </c>
      <c r="B163" s="5">
        <v>18</v>
      </c>
      <c r="M163" s="4" t="s">
        <v>114</v>
      </c>
      <c r="N163" s="5">
        <v>18</v>
      </c>
    </row>
    <row r="164" spans="1:14" x14ac:dyDescent="0.2">
      <c r="A164" s="4" t="s">
        <v>74</v>
      </c>
      <c r="B164" s="5">
        <v>248</v>
      </c>
      <c r="M164" s="4" t="s">
        <v>74</v>
      </c>
      <c r="N164" s="5">
        <v>248</v>
      </c>
    </row>
    <row r="165" spans="1:14" x14ac:dyDescent="0.2">
      <c r="A165" t="s">
        <v>96</v>
      </c>
      <c r="B165" s="5">
        <v>112</v>
      </c>
      <c r="M165" t="s">
        <v>96</v>
      </c>
      <c r="N165" s="5">
        <v>112</v>
      </c>
    </row>
    <row r="166" spans="1:14" x14ac:dyDescent="0.2">
      <c r="A166" s="4" t="s">
        <v>59</v>
      </c>
      <c r="B166" s="5">
        <v>218</v>
      </c>
      <c r="M166" s="4" t="s">
        <v>59</v>
      </c>
      <c r="N166" s="5">
        <v>218</v>
      </c>
    </row>
    <row r="167" spans="1:14" x14ac:dyDescent="0.2">
      <c r="A167" s="4" t="s">
        <v>112</v>
      </c>
      <c r="B167" s="5">
        <v>70</v>
      </c>
      <c r="M167" s="4" t="s">
        <v>112</v>
      </c>
      <c r="N167" s="5">
        <v>70</v>
      </c>
    </row>
    <row r="168" spans="1:14" x14ac:dyDescent="0.2">
      <c r="A168" s="4" t="s">
        <v>112</v>
      </c>
      <c r="B168" s="5">
        <v>7</v>
      </c>
      <c r="M168" s="4" t="s">
        <v>112</v>
      </c>
      <c r="N168" s="5">
        <v>7</v>
      </c>
    </row>
    <row r="169" spans="1:14" x14ac:dyDescent="0.2">
      <c r="A169" t="s">
        <v>94</v>
      </c>
      <c r="B169" s="5">
        <v>267</v>
      </c>
      <c r="M169" t="s">
        <v>94</v>
      </c>
      <c r="N169" s="5">
        <v>267</v>
      </c>
    </row>
    <row r="170" spans="1:14" x14ac:dyDescent="0.2">
      <c r="A170" s="4" t="s">
        <v>115</v>
      </c>
      <c r="B170" s="4">
        <v>72</v>
      </c>
      <c r="M170" s="4" t="s">
        <v>115</v>
      </c>
      <c r="N170" s="4">
        <v>72</v>
      </c>
    </row>
    <row r="171" spans="1:14" x14ac:dyDescent="0.2">
      <c r="A171" s="4" t="s">
        <v>117</v>
      </c>
      <c r="B171" s="4">
        <v>5</v>
      </c>
      <c r="M171" s="4" t="s">
        <v>117</v>
      </c>
      <c r="N171" s="4">
        <v>5</v>
      </c>
    </row>
    <row r="172" spans="1:14" x14ac:dyDescent="0.2">
      <c r="A172" s="4" t="s">
        <v>42</v>
      </c>
      <c r="B172" s="4">
        <v>112</v>
      </c>
      <c r="M172" s="4" t="s">
        <v>42</v>
      </c>
      <c r="N172" s="4">
        <v>112</v>
      </c>
    </row>
    <row r="173" spans="1:14" x14ac:dyDescent="0.2">
      <c r="A173" s="4" t="s">
        <v>28</v>
      </c>
      <c r="B173" s="4">
        <v>3</v>
      </c>
      <c r="M173" s="4" t="s">
        <v>28</v>
      </c>
      <c r="N173" s="4">
        <v>3</v>
      </c>
    </row>
    <row r="174" spans="1:14" x14ac:dyDescent="0.2">
      <c r="A174" s="4" t="s">
        <v>90</v>
      </c>
      <c r="B174" s="4">
        <v>5</v>
      </c>
      <c r="M174" s="4" t="s">
        <v>90</v>
      </c>
      <c r="N174" s="4">
        <v>5</v>
      </c>
    </row>
    <row r="175" spans="1:14" x14ac:dyDescent="0.2">
      <c r="M175" s="4" t="s">
        <v>120</v>
      </c>
      <c r="N175" s="5">
        <v>207.77</v>
      </c>
    </row>
    <row r="176" spans="1:14" x14ac:dyDescent="0.2">
      <c r="M176" s="4" t="s">
        <v>122</v>
      </c>
      <c r="N176" s="5">
        <v>71.41</v>
      </c>
    </row>
    <row r="177" spans="13:14" x14ac:dyDescent="0.2">
      <c r="M177" s="4" t="s">
        <v>123</v>
      </c>
      <c r="N177" s="5">
        <v>294.14999999999998</v>
      </c>
    </row>
    <row r="178" spans="13:14" x14ac:dyDescent="0.2">
      <c r="M178" s="4" t="s">
        <v>124</v>
      </c>
      <c r="N178" s="5">
        <v>29.14</v>
      </c>
    </row>
    <row r="179" spans="13:14" x14ac:dyDescent="0.2">
      <c r="M179" s="4" t="s">
        <v>123</v>
      </c>
      <c r="N179" s="5">
        <v>980.76</v>
      </c>
    </row>
    <row r="180" spans="13:14" x14ac:dyDescent="0.2">
      <c r="M180" s="4" t="s">
        <v>123</v>
      </c>
      <c r="N180" s="5">
        <v>119.02</v>
      </c>
    </row>
    <row r="181" spans="13:14" x14ac:dyDescent="0.2">
      <c r="M181" s="4" t="s">
        <v>125</v>
      </c>
      <c r="N181" s="5">
        <v>1664.8</v>
      </c>
    </row>
    <row r="182" spans="13:14" x14ac:dyDescent="0.2">
      <c r="M182" s="4" t="s">
        <v>126</v>
      </c>
      <c r="N182" s="5">
        <v>415.28</v>
      </c>
    </row>
    <row r="183" spans="13:14" x14ac:dyDescent="0.2">
      <c r="M183" s="4" t="s">
        <v>127</v>
      </c>
      <c r="N183" s="5">
        <v>705.48</v>
      </c>
    </row>
    <row r="184" spans="13:14" x14ac:dyDescent="0.2">
      <c r="M184" s="4" t="s">
        <v>120</v>
      </c>
      <c r="N184" s="5">
        <v>106.45</v>
      </c>
    </row>
    <row r="185" spans="13:14" x14ac:dyDescent="0.2">
      <c r="M185" s="4" t="s">
        <v>126</v>
      </c>
      <c r="N185" s="5">
        <v>871.93</v>
      </c>
    </row>
    <row r="186" spans="13:14" x14ac:dyDescent="0.2">
      <c r="M186" s="4" t="s">
        <v>120</v>
      </c>
      <c r="N186" s="5">
        <v>677.49</v>
      </c>
    </row>
    <row r="187" spans="13:14" x14ac:dyDescent="0.2">
      <c r="M187" s="4" t="s">
        <v>123</v>
      </c>
      <c r="N187" s="5">
        <v>1711.61</v>
      </c>
    </row>
    <row r="188" spans="13:14" x14ac:dyDescent="0.2">
      <c r="M188" s="4" t="s">
        <v>128</v>
      </c>
      <c r="N188" s="5">
        <v>840.33</v>
      </c>
    </row>
    <row r="189" spans="13:14" x14ac:dyDescent="0.2">
      <c r="M189" s="4" t="s">
        <v>129</v>
      </c>
      <c r="N189" s="5">
        <v>375.83</v>
      </c>
    </row>
    <row r="190" spans="13:14" x14ac:dyDescent="0.2">
      <c r="M190" s="4" t="s">
        <v>130</v>
      </c>
      <c r="N190" s="5">
        <v>115.72</v>
      </c>
    </row>
    <row r="191" spans="13:14" x14ac:dyDescent="0.2">
      <c r="M191" s="4" t="s">
        <v>120</v>
      </c>
      <c r="N191" s="5">
        <v>52.26</v>
      </c>
    </row>
    <row r="192" spans="13:14" x14ac:dyDescent="0.2">
      <c r="M192" s="4" t="s">
        <v>123</v>
      </c>
      <c r="N192" s="5">
        <v>129.58000000000001</v>
      </c>
    </row>
    <row r="193" spans="13:14" x14ac:dyDescent="0.2">
      <c r="M193" s="4" t="s">
        <v>125</v>
      </c>
      <c r="N193" s="5">
        <v>181.23</v>
      </c>
    </row>
    <row r="194" spans="13:14" x14ac:dyDescent="0.2">
      <c r="M194" s="4" t="s">
        <v>128</v>
      </c>
      <c r="N194" s="5">
        <v>19.149999999999999</v>
      </c>
    </row>
    <row r="195" spans="13:14" x14ac:dyDescent="0.2">
      <c r="M195" s="4" t="s">
        <v>131</v>
      </c>
      <c r="N195" s="5">
        <v>24.36</v>
      </c>
    </row>
    <row r="196" spans="13:14" x14ac:dyDescent="0.2">
      <c r="M196" s="4" t="s">
        <v>127</v>
      </c>
      <c r="N196" s="5">
        <v>17.78</v>
      </c>
    </row>
    <row r="197" spans="13:14" x14ac:dyDescent="0.2">
      <c r="M197" s="4" t="s">
        <v>132</v>
      </c>
      <c r="N197" s="5">
        <v>563.96</v>
      </c>
    </row>
    <row r="198" spans="13:14" x14ac:dyDescent="0.2">
      <c r="M198" s="4" t="s">
        <v>134</v>
      </c>
      <c r="N198" s="5">
        <v>884.23</v>
      </c>
    </row>
    <row r="199" spans="13:14" x14ac:dyDescent="0.2">
      <c r="M199" s="4" t="s">
        <v>135</v>
      </c>
      <c r="N199" s="5">
        <v>446.05</v>
      </c>
    </row>
    <row r="200" spans="13:14" x14ac:dyDescent="0.2">
      <c r="M200" s="4" t="s">
        <v>135</v>
      </c>
      <c r="N200" s="5">
        <v>137.1</v>
      </c>
    </row>
    <row r="201" spans="13:14" x14ac:dyDescent="0.2">
      <c r="M201" s="4" t="s">
        <v>136</v>
      </c>
      <c r="N201" s="5">
        <v>561.37</v>
      </c>
    </row>
    <row r="202" spans="13:14" x14ac:dyDescent="0.2">
      <c r="M202" s="4" t="s">
        <v>137</v>
      </c>
      <c r="N202" s="5">
        <v>467.98</v>
      </c>
    </row>
    <row r="203" spans="13:14" x14ac:dyDescent="0.2">
      <c r="M203" s="4" t="s">
        <v>138</v>
      </c>
      <c r="N203" s="5">
        <v>532.97</v>
      </c>
    </row>
    <row r="204" spans="13:14" x14ac:dyDescent="0.2">
      <c r="M204" s="4" t="s">
        <v>139</v>
      </c>
      <c r="N204" s="5">
        <v>282.3</v>
      </c>
    </row>
    <row r="205" spans="13:14" x14ac:dyDescent="0.2">
      <c r="M205" s="4" t="s">
        <v>140</v>
      </c>
      <c r="N205" s="5">
        <v>1538.29</v>
      </c>
    </row>
    <row r="206" spans="13:14" x14ac:dyDescent="0.2">
      <c r="M206" s="4" t="s">
        <v>141</v>
      </c>
      <c r="N206" s="5">
        <v>92.79</v>
      </c>
    </row>
    <row r="207" spans="13:14" x14ac:dyDescent="0.2">
      <c r="M207" s="4" t="s">
        <v>143</v>
      </c>
      <c r="N207" s="5">
        <v>40</v>
      </c>
    </row>
    <row r="208" spans="13:14" x14ac:dyDescent="0.2">
      <c r="M208" s="4" t="s">
        <v>144</v>
      </c>
      <c r="N208" s="5">
        <v>92.52</v>
      </c>
    </row>
    <row r="209" spans="13:14" x14ac:dyDescent="0.2">
      <c r="M209" s="4" t="s">
        <v>145</v>
      </c>
      <c r="N209" s="5">
        <v>26.65</v>
      </c>
    </row>
    <row r="210" spans="13:14" x14ac:dyDescent="0.2">
      <c r="M210" s="4" t="s">
        <v>146</v>
      </c>
      <c r="N210" s="5">
        <v>316.14</v>
      </c>
    </row>
    <row r="211" spans="13:14" x14ac:dyDescent="0.2">
      <c r="M211" s="16" t="s">
        <v>530</v>
      </c>
      <c r="N211" s="5">
        <v>373</v>
      </c>
    </row>
    <row r="212" spans="13:14" x14ac:dyDescent="0.2">
      <c r="M212" s="4" t="s">
        <v>147</v>
      </c>
      <c r="N212" s="5">
        <v>451.09</v>
      </c>
    </row>
    <row r="213" spans="13:14" x14ac:dyDescent="0.2">
      <c r="M213" s="4" t="s">
        <v>149</v>
      </c>
      <c r="N213" s="5">
        <v>103.93</v>
      </c>
    </row>
    <row r="214" spans="13:14" x14ac:dyDescent="0.2">
      <c r="M214" s="4" t="s">
        <v>150</v>
      </c>
      <c r="N214" s="5">
        <v>560.41</v>
      </c>
    </row>
    <row r="215" spans="13:14" x14ac:dyDescent="0.2">
      <c r="M215" s="4" t="s">
        <v>147</v>
      </c>
      <c r="N215" s="5">
        <v>407.21</v>
      </c>
    </row>
    <row r="216" spans="13:14" x14ac:dyDescent="0.2">
      <c r="M216" s="4" t="s">
        <v>151</v>
      </c>
      <c r="N216" s="5">
        <v>330.1</v>
      </c>
    </row>
    <row r="217" spans="13:14" x14ac:dyDescent="0.2">
      <c r="M217" s="4" t="s">
        <v>152</v>
      </c>
      <c r="N217" s="5">
        <v>239.04</v>
      </c>
    </row>
    <row r="218" spans="13:14" x14ac:dyDescent="0.2">
      <c r="M218" s="4" t="s">
        <v>149</v>
      </c>
      <c r="N218" s="5">
        <v>243.6</v>
      </c>
    </row>
    <row r="219" spans="13:14" x14ac:dyDescent="0.2">
      <c r="M219" s="4" t="s">
        <v>152</v>
      </c>
      <c r="N219" s="5">
        <v>162.22999999999999</v>
      </c>
    </row>
    <row r="220" spans="13:14" x14ac:dyDescent="0.2">
      <c r="M220" s="4" t="s">
        <v>153</v>
      </c>
      <c r="N220" s="5">
        <v>64.400000000000006</v>
      </c>
    </row>
    <row r="221" spans="13:14" x14ac:dyDescent="0.2">
      <c r="M221" s="4" t="s">
        <v>151</v>
      </c>
      <c r="N221" s="8">
        <v>175.19</v>
      </c>
    </row>
    <row r="222" spans="13:14" x14ac:dyDescent="0.2">
      <c r="M222" s="4" t="s">
        <v>154</v>
      </c>
      <c r="N222" s="8">
        <v>67.209999999999994</v>
      </c>
    </row>
    <row r="223" spans="13:14" x14ac:dyDescent="0.2">
      <c r="M223" s="16" t="s">
        <v>531</v>
      </c>
      <c r="N223" s="8">
        <v>290.45999999999998</v>
      </c>
    </row>
    <row r="224" spans="13:14" x14ac:dyDescent="0.2">
      <c r="M224" s="4" t="s">
        <v>155</v>
      </c>
      <c r="N224" s="5">
        <v>803.04</v>
      </c>
    </row>
    <row r="225" spans="13:14" x14ac:dyDescent="0.2">
      <c r="M225" s="4" t="s">
        <v>157</v>
      </c>
      <c r="N225" s="5">
        <v>296.7</v>
      </c>
    </row>
    <row r="226" spans="13:14" x14ac:dyDescent="0.2">
      <c r="M226" s="4" t="s">
        <v>158</v>
      </c>
      <c r="N226" s="5">
        <v>77.77</v>
      </c>
    </row>
    <row r="227" spans="13:14" x14ac:dyDescent="0.2">
      <c r="M227" s="4" t="s">
        <v>158</v>
      </c>
      <c r="N227" s="5">
        <v>158.65</v>
      </c>
    </row>
    <row r="228" spans="13:14" x14ac:dyDescent="0.2">
      <c r="M228" s="4" t="s">
        <v>159</v>
      </c>
      <c r="N228" s="5">
        <v>234.23</v>
      </c>
    </row>
    <row r="229" spans="13:14" x14ac:dyDescent="0.2">
      <c r="M229" s="4" t="s">
        <v>157</v>
      </c>
      <c r="N229" s="5">
        <v>139.47999999999999</v>
      </c>
    </row>
    <row r="230" spans="13:14" x14ac:dyDescent="0.2">
      <c r="M230" s="4" t="s">
        <v>160</v>
      </c>
      <c r="N230" s="5">
        <v>149.59</v>
      </c>
    </row>
    <row r="231" spans="13:14" x14ac:dyDescent="0.2">
      <c r="M231" s="4" t="s">
        <v>158</v>
      </c>
      <c r="N231" s="5">
        <v>138.16</v>
      </c>
    </row>
    <row r="232" spans="13:14" x14ac:dyDescent="0.2">
      <c r="M232" s="4" t="s">
        <v>161</v>
      </c>
      <c r="N232" s="5">
        <v>41.04</v>
      </c>
    </row>
    <row r="233" spans="13:14" x14ac:dyDescent="0.2">
      <c r="M233" s="4" t="s">
        <v>162</v>
      </c>
      <c r="N233" s="5">
        <v>142.13</v>
      </c>
    </row>
    <row r="234" spans="13:14" x14ac:dyDescent="0.2">
      <c r="M234" s="4" t="s">
        <v>163</v>
      </c>
      <c r="N234" s="5">
        <v>281.95999999999998</v>
      </c>
    </row>
    <row r="235" spans="13:14" x14ac:dyDescent="0.2">
      <c r="M235" s="4" t="s">
        <v>155</v>
      </c>
      <c r="N235" s="5">
        <v>217.24</v>
      </c>
    </row>
    <row r="236" spans="13:14" x14ac:dyDescent="0.2">
      <c r="M236" s="16" t="s">
        <v>532</v>
      </c>
      <c r="N236" s="5">
        <v>439.92</v>
      </c>
    </row>
    <row r="237" spans="13:14" x14ac:dyDescent="0.2">
      <c r="M237" s="4" t="s">
        <v>164</v>
      </c>
      <c r="N237" s="5">
        <v>468.96</v>
      </c>
    </row>
    <row r="238" spans="13:14" x14ac:dyDescent="0.2">
      <c r="M238" s="4" t="s">
        <v>166</v>
      </c>
      <c r="N238" s="5">
        <v>401.11</v>
      </c>
    </row>
    <row r="239" spans="13:14" x14ac:dyDescent="0.2">
      <c r="M239" s="4" t="s">
        <v>167</v>
      </c>
      <c r="N239" s="5">
        <v>721.19</v>
      </c>
    </row>
    <row r="240" spans="13:14" x14ac:dyDescent="0.2">
      <c r="M240" s="4" t="s">
        <v>168</v>
      </c>
      <c r="N240" s="5">
        <v>502.97</v>
      </c>
    </row>
    <row r="241" spans="13:14" x14ac:dyDescent="0.2">
      <c r="M241" s="4" t="s">
        <v>169</v>
      </c>
      <c r="N241" s="5">
        <v>428.98</v>
      </c>
    </row>
    <row r="242" spans="13:14" x14ac:dyDescent="0.2">
      <c r="M242" s="4" t="s">
        <v>170</v>
      </c>
      <c r="N242" s="5">
        <v>355.94</v>
      </c>
    </row>
    <row r="243" spans="13:14" x14ac:dyDescent="0.2">
      <c r="M243" s="4" t="s">
        <v>171</v>
      </c>
      <c r="N243" s="5">
        <v>41.68</v>
      </c>
    </row>
    <row r="244" spans="13:14" x14ac:dyDescent="0.2">
      <c r="M244" s="4" t="s">
        <v>172</v>
      </c>
      <c r="N244" s="5">
        <v>320.26</v>
      </c>
    </row>
    <row r="245" spans="13:14" x14ac:dyDescent="0.2">
      <c r="M245" s="4" t="s">
        <v>173</v>
      </c>
      <c r="N245" s="5">
        <v>385.16</v>
      </c>
    </row>
    <row r="246" spans="13:14" x14ac:dyDescent="0.2">
      <c r="M246" s="4" t="s">
        <v>174</v>
      </c>
      <c r="N246" s="5">
        <v>597.6</v>
      </c>
    </row>
    <row r="247" spans="13:14" x14ac:dyDescent="0.2">
      <c r="M247" s="4" t="s">
        <v>175</v>
      </c>
      <c r="N247" s="5">
        <v>61.65</v>
      </c>
    </row>
    <row r="248" spans="13:14" x14ac:dyDescent="0.2">
      <c r="M248" s="4" t="s">
        <v>176</v>
      </c>
      <c r="N248" s="5">
        <v>1155.45</v>
      </c>
    </row>
    <row r="249" spans="13:14" x14ac:dyDescent="0.2">
      <c r="M249" s="4" t="s">
        <v>177</v>
      </c>
      <c r="N249" s="5">
        <v>550.04</v>
      </c>
    </row>
    <row r="250" spans="13:14" x14ac:dyDescent="0.2">
      <c r="M250" s="4" t="s">
        <v>176</v>
      </c>
      <c r="N250" s="5">
        <v>74.14</v>
      </c>
    </row>
    <row r="251" spans="13:14" x14ac:dyDescent="0.2">
      <c r="M251" s="4" t="s">
        <v>174</v>
      </c>
      <c r="N251" s="5">
        <v>293.41000000000003</v>
      </c>
    </row>
    <row r="252" spans="13:14" x14ac:dyDescent="0.2">
      <c r="M252" s="4" t="s">
        <v>178</v>
      </c>
      <c r="N252" s="5">
        <v>203.87</v>
      </c>
    </row>
    <row r="253" spans="13:14" x14ac:dyDescent="0.2">
      <c r="M253" s="4" t="s">
        <v>179</v>
      </c>
      <c r="N253" s="5">
        <v>243.77</v>
      </c>
    </row>
    <row r="254" spans="13:14" x14ac:dyDescent="0.2">
      <c r="M254" s="4" t="s">
        <v>158</v>
      </c>
      <c r="N254" s="5">
        <v>51</v>
      </c>
    </row>
    <row r="255" spans="13:14" x14ac:dyDescent="0.2">
      <c r="M255" s="4" t="s">
        <v>138</v>
      </c>
      <c r="N255" s="5">
        <v>111.9</v>
      </c>
    </row>
    <row r="256" spans="13:14" x14ac:dyDescent="0.2">
      <c r="M256" s="4" t="s">
        <v>136</v>
      </c>
      <c r="N256" s="5">
        <v>76.040000000000006</v>
      </c>
    </row>
    <row r="257" spans="13:14" x14ac:dyDescent="0.2">
      <c r="M257" s="4" t="s">
        <v>181</v>
      </c>
      <c r="N257" s="5">
        <v>96.55</v>
      </c>
    </row>
    <row r="258" spans="13:14" x14ac:dyDescent="0.2">
      <c r="M258" s="4" t="s">
        <v>135</v>
      </c>
      <c r="N258" s="5">
        <v>302.08999999999997</v>
      </c>
    </row>
    <row r="259" spans="13:14" x14ac:dyDescent="0.2">
      <c r="M259" s="4" t="s">
        <v>132</v>
      </c>
      <c r="N259" s="5">
        <v>234.7</v>
      </c>
    </row>
    <row r="260" spans="13:14" x14ac:dyDescent="0.2">
      <c r="M260" s="4" t="s">
        <v>134</v>
      </c>
      <c r="N260" s="5">
        <v>286.02999999999997</v>
      </c>
    </row>
    <row r="261" spans="13:14" x14ac:dyDescent="0.2">
      <c r="M261" s="4" t="s">
        <v>152</v>
      </c>
      <c r="N261" s="5">
        <v>115.6</v>
      </c>
    </row>
    <row r="262" spans="13:14" x14ac:dyDescent="0.2">
      <c r="M262" s="4" t="s">
        <v>182</v>
      </c>
      <c r="N262" s="5">
        <v>200</v>
      </c>
    </row>
    <row r="263" spans="13:14" x14ac:dyDescent="0.2">
      <c r="M263" s="4" t="s">
        <v>150</v>
      </c>
      <c r="N263" s="5">
        <v>181.89</v>
      </c>
    </row>
    <row r="264" spans="13:14" x14ac:dyDescent="0.2">
      <c r="M264" s="4" t="s">
        <v>125</v>
      </c>
      <c r="N264" s="5">
        <v>383.96</v>
      </c>
    </row>
    <row r="265" spans="13:14" x14ac:dyDescent="0.2">
      <c r="M265" s="4" t="s">
        <v>128</v>
      </c>
      <c r="N265" s="5">
        <v>200</v>
      </c>
    </row>
    <row r="266" spans="13:14" x14ac:dyDescent="0.2">
      <c r="M266" s="4" t="s">
        <v>123</v>
      </c>
      <c r="N266" s="5">
        <v>200</v>
      </c>
    </row>
    <row r="267" spans="13:14" x14ac:dyDescent="0.2">
      <c r="M267" s="4" t="s">
        <v>128</v>
      </c>
      <c r="N267" s="5">
        <v>210.4</v>
      </c>
    </row>
    <row r="268" spans="13:14" x14ac:dyDescent="0.2">
      <c r="M268" s="4" t="s">
        <v>126</v>
      </c>
      <c r="N268" s="5">
        <v>130.69999999999999</v>
      </c>
    </row>
    <row r="269" spans="13:14" x14ac:dyDescent="0.2">
      <c r="M269" s="16" t="s">
        <v>533</v>
      </c>
      <c r="N269" s="5">
        <v>183.37</v>
      </c>
    </row>
    <row r="270" spans="13:14" x14ac:dyDescent="0.2">
      <c r="M270" s="4" t="s">
        <v>183</v>
      </c>
      <c r="N270" s="5">
        <v>793.96</v>
      </c>
    </row>
    <row r="271" spans="13:14" x14ac:dyDescent="0.2">
      <c r="M271" s="16" t="s">
        <v>534</v>
      </c>
      <c r="N271" s="5">
        <v>41.66</v>
      </c>
    </row>
    <row r="272" spans="13:14" x14ac:dyDescent="0.2">
      <c r="M272" s="4" t="s">
        <v>184</v>
      </c>
      <c r="N272" s="5">
        <v>839.74</v>
      </c>
    </row>
    <row r="273" spans="13:14" x14ac:dyDescent="0.2">
      <c r="M273" s="4" t="s">
        <v>185</v>
      </c>
      <c r="N273" s="5">
        <v>61.2</v>
      </c>
    </row>
    <row r="274" spans="13:14" x14ac:dyDescent="0.2">
      <c r="M274" s="4" t="s">
        <v>185</v>
      </c>
      <c r="N274" s="5">
        <v>25.6</v>
      </c>
    </row>
    <row r="275" spans="13:14" x14ac:dyDescent="0.2">
      <c r="M275" s="4" t="s">
        <v>170</v>
      </c>
      <c r="N275" s="5">
        <v>240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0988-B600-4B31-BF67-3641333966EA}">
  <dimension ref="A3:B303"/>
  <sheetViews>
    <sheetView workbookViewId="0">
      <selection activeCell="B5" sqref="B5:B34"/>
    </sheetView>
  </sheetViews>
  <sheetFormatPr defaultRowHeight="14.25" x14ac:dyDescent="0.2"/>
  <cols>
    <col min="1" max="1" width="38.125" bestFit="1" customWidth="1"/>
    <col min="2" max="2" width="24.5" bestFit="1" customWidth="1"/>
  </cols>
  <sheetData>
    <row r="3" spans="1:2" x14ac:dyDescent="0.2">
      <c r="A3" s="14" t="s">
        <v>527</v>
      </c>
      <c r="B3" t="s">
        <v>548</v>
      </c>
    </row>
    <row r="4" spans="1:2" x14ac:dyDescent="0.2">
      <c r="A4" s="15" t="s">
        <v>74</v>
      </c>
      <c r="B4">
        <v>1913</v>
      </c>
    </row>
    <row r="5" spans="1:2" x14ac:dyDescent="0.2">
      <c r="A5" s="15" t="s">
        <v>113</v>
      </c>
      <c r="B5">
        <v>78</v>
      </c>
    </row>
    <row r="6" spans="1:2" x14ac:dyDescent="0.2">
      <c r="A6" s="15" t="s">
        <v>107</v>
      </c>
      <c r="B6">
        <v>231</v>
      </c>
    </row>
    <row r="7" spans="1:2" x14ac:dyDescent="0.2">
      <c r="A7" s="15" t="s">
        <v>110</v>
      </c>
      <c r="B7">
        <v>41</v>
      </c>
    </row>
    <row r="8" spans="1:2" x14ac:dyDescent="0.2">
      <c r="A8" s="15" t="s">
        <v>89</v>
      </c>
      <c r="B8">
        <v>90</v>
      </c>
    </row>
    <row r="9" spans="1:2" x14ac:dyDescent="0.2">
      <c r="A9" s="15" t="s">
        <v>485</v>
      </c>
      <c r="B9">
        <v>-1347</v>
      </c>
    </row>
    <row r="10" spans="1:2" x14ac:dyDescent="0.2">
      <c r="A10" s="15" t="s">
        <v>91</v>
      </c>
      <c r="B10">
        <v>43</v>
      </c>
    </row>
    <row r="11" spans="1:2" x14ac:dyDescent="0.2">
      <c r="A11" s="15" t="s">
        <v>87</v>
      </c>
      <c r="B11">
        <v>48</v>
      </c>
    </row>
    <row r="12" spans="1:2" x14ac:dyDescent="0.2">
      <c r="A12" s="15" t="s">
        <v>92</v>
      </c>
      <c r="B12">
        <v>324</v>
      </c>
    </row>
    <row r="13" spans="1:2" x14ac:dyDescent="0.2">
      <c r="A13" s="15" t="s">
        <v>78</v>
      </c>
      <c r="B13">
        <v>177</v>
      </c>
    </row>
    <row r="14" spans="1:2" x14ac:dyDescent="0.2">
      <c r="A14" s="15" t="s">
        <v>85</v>
      </c>
      <c r="B14">
        <v>235</v>
      </c>
    </row>
    <row r="15" spans="1:2" x14ac:dyDescent="0.2">
      <c r="A15" s="15" t="s">
        <v>115</v>
      </c>
      <c r="B15">
        <v>72</v>
      </c>
    </row>
    <row r="16" spans="1:2" x14ac:dyDescent="0.2">
      <c r="A16" s="15" t="s">
        <v>117</v>
      </c>
      <c r="B16">
        <v>5</v>
      </c>
    </row>
    <row r="17" spans="1:2" x14ac:dyDescent="0.2">
      <c r="A17" s="15" t="s">
        <v>201</v>
      </c>
      <c r="B17">
        <v>-44</v>
      </c>
    </row>
    <row r="18" spans="1:2" x14ac:dyDescent="0.2">
      <c r="A18" s="15" t="s">
        <v>202</v>
      </c>
      <c r="B18">
        <v>-1075</v>
      </c>
    </row>
    <row r="19" spans="1:2" x14ac:dyDescent="0.2">
      <c r="A19" s="15" t="s">
        <v>203</v>
      </c>
      <c r="B19">
        <v>-8</v>
      </c>
    </row>
    <row r="20" spans="1:2" x14ac:dyDescent="0.2">
      <c r="A20" s="15" t="s">
        <v>204</v>
      </c>
      <c r="B20">
        <v>-240</v>
      </c>
    </row>
    <row r="21" spans="1:2" x14ac:dyDescent="0.2">
      <c r="A21" s="15" t="s">
        <v>205</v>
      </c>
      <c r="B21">
        <v>-2</v>
      </c>
    </row>
    <row r="22" spans="1:2" x14ac:dyDescent="0.2">
      <c r="A22" s="15" t="s">
        <v>206</v>
      </c>
      <c r="B22">
        <v>-1</v>
      </c>
    </row>
    <row r="23" spans="1:2" x14ac:dyDescent="0.2">
      <c r="A23" s="15" t="s">
        <v>207</v>
      </c>
      <c r="B23">
        <v>-1</v>
      </c>
    </row>
    <row r="24" spans="1:2" x14ac:dyDescent="0.2">
      <c r="A24" s="15" t="s">
        <v>112</v>
      </c>
      <c r="B24">
        <v>324</v>
      </c>
    </row>
    <row r="25" spans="1:2" x14ac:dyDescent="0.2">
      <c r="A25" s="15" t="s">
        <v>208</v>
      </c>
      <c r="B25">
        <v>-8</v>
      </c>
    </row>
    <row r="26" spans="1:2" x14ac:dyDescent="0.2">
      <c r="A26" s="15" t="s">
        <v>209</v>
      </c>
      <c r="B26">
        <v>-8</v>
      </c>
    </row>
    <row r="27" spans="1:2" x14ac:dyDescent="0.2">
      <c r="A27" s="15" t="s">
        <v>210</v>
      </c>
      <c r="B27">
        <v>-8</v>
      </c>
    </row>
    <row r="28" spans="1:2" x14ac:dyDescent="0.2">
      <c r="A28" s="15" t="s">
        <v>211</v>
      </c>
      <c r="B28">
        <v>-8</v>
      </c>
    </row>
    <row r="29" spans="1:2" x14ac:dyDescent="0.2">
      <c r="A29" s="15" t="s">
        <v>212</v>
      </c>
      <c r="B29">
        <v>-8</v>
      </c>
    </row>
    <row r="30" spans="1:2" x14ac:dyDescent="0.2">
      <c r="A30" s="15" t="s">
        <v>75</v>
      </c>
      <c r="B30">
        <v>1316</v>
      </c>
    </row>
    <row r="31" spans="1:2" x14ac:dyDescent="0.2">
      <c r="A31" s="15" t="s">
        <v>111</v>
      </c>
      <c r="B31">
        <v>29</v>
      </c>
    </row>
    <row r="32" spans="1:2" x14ac:dyDescent="0.2">
      <c r="A32" s="15" t="s">
        <v>213</v>
      </c>
      <c r="B32">
        <v>-8</v>
      </c>
    </row>
    <row r="33" spans="1:2" x14ac:dyDescent="0.2">
      <c r="A33" s="15" t="s">
        <v>214</v>
      </c>
      <c r="B33">
        <v>-8</v>
      </c>
    </row>
    <row r="34" spans="1:2" x14ac:dyDescent="0.2">
      <c r="A34" s="15" t="s">
        <v>215</v>
      </c>
      <c r="B34">
        <v>-8</v>
      </c>
    </row>
    <row r="35" spans="1:2" x14ac:dyDescent="0.2">
      <c r="A35" s="15" t="s">
        <v>72</v>
      </c>
      <c r="B35">
        <v>667</v>
      </c>
    </row>
    <row r="36" spans="1:2" x14ac:dyDescent="0.2">
      <c r="A36" s="15" t="s">
        <v>216</v>
      </c>
      <c r="B36">
        <v>-8</v>
      </c>
    </row>
    <row r="37" spans="1:2" x14ac:dyDescent="0.2">
      <c r="A37" s="15" t="s">
        <v>103</v>
      </c>
      <c r="B37">
        <v>540</v>
      </c>
    </row>
    <row r="38" spans="1:2" x14ac:dyDescent="0.2">
      <c r="A38" s="15" t="s">
        <v>108</v>
      </c>
      <c r="B38">
        <v>37</v>
      </c>
    </row>
    <row r="39" spans="1:2" x14ac:dyDescent="0.2">
      <c r="A39" s="15" t="s">
        <v>114</v>
      </c>
      <c r="B39">
        <v>18</v>
      </c>
    </row>
    <row r="40" spans="1:2" x14ac:dyDescent="0.2">
      <c r="A40" s="15" t="s">
        <v>217</v>
      </c>
      <c r="B40">
        <v>-8</v>
      </c>
    </row>
    <row r="41" spans="1:2" x14ac:dyDescent="0.2">
      <c r="A41" s="15" t="s">
        <v>218</v>
      </c>
      <c r="B41">
        <v>-8</v>
      </c>
    </row>
    <row r="42" spans="1:2" x14ac:dyDescent="0.2">
      <c r="A42" s="15" t="s">
        <v>219</v>
      </c>
      <c r="B42">
        <v>-8</v>
      </c>
    </row>
    <row r="43" spans="1:2" x14ac:dyDescent="0.2">
      <c r="A43" s="15" t="s">
        <v>200</v>
      </c>
      <c r="B43">
        <v>-200</v>
      </c>
    </row>
    <row r="44" spans="1:2" x14ac:dyDescent="0.2">
      <c r="A44" s="15" t="s">
        <v>220</v>
      </c>
      <c r="B44">
        <v>-1</v>
      </c>
    </row>
    <row r="45" spans="1:2" x14ac:dyDescent="0.2">
      <c r="A45" s="15" t="s">
        <v>221</v>
      </c>
      <c r="B45">
        <v>-3</v>
      </c>
    </row>
    <row r="46" spans="1:2" x14ac:dyDescent="0.2">
      <c r="A46" s="15" t="s">
        <v>222</v>
      </c>
      <c r="B46">
        <v>-1</v>
      </c>
    </row>
    <row r="47" spans="1:2" x14ac:dyDescent="0.2">
      <c r="A47" s="15" t="s">
        <v>223</v>
      </c>
      <c r="B47">
        <v>-5</v>
      </c>
    </row>
    <row r="48" spans="1:2" x14ac:dyDescent="0.2">
      <c r="A48" s="15" t="s">
        <v>224</v>
      </c>
      <c r="B48">
        <v>-80</v>
      </c>
    </row>
    <row r="49" spans="1:2" x14ac:dyDescent="0.2">
      <c r="A49" s="15" t="s">
        <v>225</v>
      </c>
      <c r="B49">
        <v>-27</v>
      </c>
    </row>
    <row r="50" spans="1:2" x14ac:dyDescent="0.2">
      <c r="A50" s="15" t="s">
        <v>226</v>
      </c>
      <c r="B50">
        <v>-1018</v>
      </c>
    </row>
    <row r="51" spans="1:2" x14ac:dyDescent="0.2">
      <c r="A51" s="15" t="s">
        <v>227</v>
      </c>
      <c r="B51">
        <v>-54</v>
      </c>
    </row>
    <row r="52" spans="1:2" x14ac:dyDescent="0.2">
      <c r="A52" s="15" t="s">
        <v>228</v>
      </c>
      <c r="B52">
        <v>-107</v>
      </c>
    </row>
    <row r="53" spans="1:2" x14ac:dyDescent="0.2">
      <c r="A53" s="15" t="s">
        <v>229</v>
      </c>
      <c r="B53">
        <v>-1</v>
      </c>
    </row>
    <row r="54" spans="1:2" x14ac:dyDescent="0.2">
      <c r="A54" s="15" t="s">
        <v>230</v>
      </c>
      <c r="B54">
        <v>-102</v>
      </c>
    </row>
    <row r="55" spans="1:2" x14ac:dyDescent="0.2">
      <c r="A55" s="15" t="s">
        <v>231</v>
      </c>
      <c r="B55">
        <v>-978</v>
      </c>
    </row>
    <row r="56" spans="1:2" x14ac:dyDescent="0.2">
      <c r="A56" s="15" t="s">
        <v>232</v>
      </c>
      <c r="B56">
        <v>-68</v>
      </c>
    </row>
    <row r="57" spans="1:2" x14ac:dyDescent="0.2">
      <c r="A57" s="15" t="s">
        <v>233</v>
      </c>
      <c r="B57">
        <v>-2</v>
      </c>
    </row>
    <row r="58" spans="1:2" x14ac:dyDescent="0.2">
      <c r="A58" s="15" t="s">
        <v>234</v>
      </c>
      <c r="B58">
        <v>-7</v>
      </c>
    </row>
    <row r="59" spans="1:2" x14ac:dyDescent="0.2">
      <c r="A59" s="15" t="s">
        <v>235</v>
      </c>
      <c r="B59">
        <v>-55</v>
      </c>
    </row>
    <row r="60" spans="1:2" x14ac:dyDescent="0.2">
      <c r="A60" s="15" t="s">
        <v>236</v>
      </c>
      <c r="B60">
        <v>-12</v>
      </c>
    </row>
    <row r="61" spans="1:2" x14ac:dyDescent="0.2">
      <c r="A61" s="15" t="s">
        <v>237</v>
      </c>
      <c r="B61">
        <v>-122</v>
      </c>
    </row>
    <row r="62" spans="1:2" x14ac:dyDescent="0.2">
      <c r="A62" s="15" t="s">
        <v>238</v>
      </c>
      <c r="B62">
        <v>-141</v>
      </c>
    </row>
    <row r="63" spans="1:2" x14ac:dyDescent="0.2">
      <c r="A63" s="15" t="s">
        <v>239</v>
      </c>
      <c r="B63">
        <v>-55</v>
      </c>
    </row>
    <row r="64" spans="1:2" x14ac:dyDescent="0.2">
      <c r="A64" s="15" t="s">
        <v>240</v>
      </c>
      <c r="B64">
        <v>-3</v>
      </c>
    </row>
    <row r="65" spans="1:2" x14ac:dyDescent="0.2">
      <c r="A65" s="15" t="s">
        <v>241</v>
      </c>
      <c r="B65">
        <v>-3</v>
      </c>
    </row>
    <row r="66" spans="1:2" x14ac:dyDescent="0.2">
      <c r="A66" s="15" t="s">
        <v>242</v>
      </c>
      <c r="B66">
        <v>-6</v>
      </c>
    </row>
    <row r="67" spans="1:2" x14ac:dyDescent="0.2">
      <c r="A67" s="15" t="s">
        <v>243</v>
      </c>
      <c r="B67">
        <v>-7</v>
      </c>
    </row>
    <row r="68" spans="1:2" x14ac:dyDescent="0.2">
      <c r="A68" s="15" t="s">
        <v>244</v>
      </c>
      <c r="B68">
        <v>-2</v>
      </c>
    </row>
    <row r="69" spans="1:2" x14ac:dyDescent="0.2">
      <c r="A69" s="15" t="s">
        <v>245</v>
      </c>
      <c r="B69">
        <v>-6</v>
      </c>
    </row>
    <row r="70" spans="1:2" x14ac:dyDescent="0.2">
      <c r="A70" s="15" t="s">
        <v>246</v>
      </c>
      <c r="B70">
        <v>-3</v>
      </c>
    </row>
    <row r="71" spans="1:2" x14ac:dyDescent="0.2">
      <c r="A71" s="15" t="s">
        <v>247</v>
      </c>
      <c r="B71">
        <v>-7</v>
      </c>
    </row>
    <row r="72" spans="1:2" x14ac:dyDescent="0.2">
      <c r="A72" s="15" t="s">
        <v>248</v>
      </c>
      <c r="B72">
        <v>-8</v>
      </c>
    </row>
    <row r="73" spans="1:2" x14ac:dyDescent="0.2">
      <c r="A73" s="15" t="s">
        <v>249</v>
      </c>
      <c r="B73">
        <v>-3</v>
      </c>
    </row>
    <row r="74" spans="1:2" x14ac:dyDescent="0.2">
      <c r="A74" s="15" t="s">
        <v>250</v>
      </c>
      <c r="B74">
        <v>-3</v>
      </c>
    </row>
    <row r="75" spans="1:2" x14ac:dyDescent="0.2">
      <c r="A75" s="15" t="s">
        <v>251</v>
      </c>
      <c r="B75">
        <v>-18</v>
      </c>
    </row>
    <row r="76" spans="1:2" x14ac:dyDescent="0.2">
      <c r="A76" s="15" t="s">
        <v>252</v>
      </c>
      <c r="B76">
        <v>-12</v>
      </c>
    </row>
    <row r="77" spans="1:2" x14ac:dyDescent="0.2">
      <c r="A77" s="15" t="s">
        <v>83</v>
      </c>
      <c r="B77">
        <v>127</v>
      </c>
    </row>
    <row r="78" spans="1:2" x14ac:dyDescent="0.2">
      <c r="A78" s="15" t="s">
        <v>79</v>
      </c>
      <c r="B78">
        <v>399</v>
      </c>
    </row>
    <row r="79" spans="1:2" x14ac:dyDescent="0.2">
      <c r="A79" s="15" t="s">
        <v>253</v>
      </c>
      <c r="B79">
        <v>-2</v>
      </c>
    </row>
    <row r="80" spans="1:2" x14ac:dyDescent="0.2">
      <c r="A80" s="15" t="s">
        <v>254</v>
      </c>
      <c r="B80">
        <v>-17</v>
      </c>
    </row>
    <row r="81" spans="1:2" x14ac:dyDescent="0.2">
      <c r="A81" s="15" t="s">
        <v>255</v>
      </c>
      <c r="B81">
        <v>-95</v>
      </c>
    </row>
    <row r="82" spans="1:2" x14ac:dyDescent="0.2">
      <c r="A82" s="15" t="s">
        <v>256</v>
      </c>
      <c r="B82">
        <v>-241</v>
      </c>
    </row>
    <row r="83" spans="1:2" x14ac:dyDescent="0.2">
      <c r="A83" s="15" t="s">
        <v>257</v>
      </c>
      <c r="B83">
        <v>-35</v>
      </c>
    </row>
    <row r="84" spans="1:2" x14ac:dyDescent="0.2">
      <c r="A84" s="15" t="s">
        <v>258</v>
      </c>
      <c r="B84">
        <v>-1</v>
      </c>
    </row>
    <row r="85" spans="1:2" x14ac:dyDescent="0.2">
      <c r="A85" s="15" t="s">
        <v>259</v>
      </c>
      <c r="B85">
        <v>-283</v>
      </c>
    </row>
    <row r="86" spans="1:2" x14ac:dyDescent="0.2">
      <c r="A86" s="15" t="s">
        <v>81</v>
      </c>
      <c r="B86">
        <v>20</v>
      </c>
    </row>
    <row r="87" spans="1:2" x14ac:dyDescent="0.2">
      <c r="A87" s="15" t="s">
        <v>59</v>
      </c>
      <c r="B87">
        <v>616</v>
      </c>
    </row>
    <row r="88" spans="1:2" x14ac:dyDescent="0.2">
      <c r="A88" s="15" t="s">
        <v>58</v>
      </c>
      <c r="B88">
        <v>109</v>
      </c>
    </row>
    <row r="89" spans="1:2" x14ac:dyDescent="0.2">
      <c r="A89" s="15" t="s">
        <v>52</v>
      </c>
      <c r="B89">
        <v>348</v>
      </c>
    </row>
    <row r="90" spans="1:2" x14ac:dyDescent="0.2">
      <c r="A90" s="15" t="s">
        <v>260</v>
      </c>
      <c r="B90">
        <v>-98</v>
      </c>
    </row>
    <row r="91" spans="1:2" x14ac:dyDescent="0.2">
      <c r="A91" s="15" t="s">
        <v>261</v>
      </c>
      <c r="B91">
        <v>-290</v>
      </c>
    </row>
    <row r="92" spans="1:2" x14ac:dyDescent="0.2">
      <c r="A92" s="15" t="s">
        <v>56</v>
      </c>
      <c r="B92">
        <v>55</v>
      </c>
    </row>
    <row r="93" spans="1:2" x14ac:dyDescent="0.2">
      <c r="A93" s="15" t="s">
        <v>262</v>
      </c>
      <c r="B93">
        <v>-454</v>
      </c>
    </row>
    <row r="94" spans="1:2" x14ac:dyDescent="0.2">
      <c r="A94" s="15" t="s">
        <v>57</v>
      </c>
      <c r="B94">
        <v>274</v>
      </c>
    </row>
    <row r="95" spans="1:2" x14ac:dyDescent="0.2">
      <c r="A95" s="15" t="s">
        <v>263</v>
      </c>
      <c r="B95">
        <v>-314</v>
      </c>
    </row>
    <row r="96" spans="1:2" x14ac:dyDescent="0.2">
      <c r="A96" s="15" t="s">
        <v>62</v>
      </c>
      <c r="B96">
        <v>126</v>
      </c>
    </row>
    <row r="97" spans="1:2" x14ac:dyDescent="0.2">
      <c r="A97" s="15" t="s">
        <v>264</v>
      </c>
      <c r="B97">
        <v>-323</v>
      </c>
    </row>
    <row r="98" spans="1:2" x14ac:dyDescent="0.2">
      <c r="A98" s="15" t="s">
        <v>265</v>
      </c>
      <c r="B98">
        <v>-191</v>
      </c>
    </row>
    <row r="99" spans="1:2" x14ac:dyDescent="0.2">
      <c r="A99" s="15" t="s">
        <v>55</v>
      </c>
      <c r="B99">
        <v>308</v>
      </c>
    </row>
    <row r="100" spans="1:2" x14ac:dyDescent="0.2">
      <c r="A100" s="15" t="s">
        <v>54</v>
      </c>
      <c r="B100">
        <v>323</v>
      </c>
    </row>
    <row r="101" spans="1:2" x14ac:dyDescent="0.2">
      <c r="A101" s="15" t="s">
        <v>32</v>
      </c>
      <c r="B101">
        <v>7</v>
      </c>
    </row>
    <row r="102" spans="1:2" x14ac:dyDescent="0.2">
      <c r="A102" s="15" t="s">
        <v>35</v>
      </c>
      <c r="B102">
        <v>21</v>
      </c>
    </row>
    <row r="103" spans="1:2" x14ac:dyDescent="0.2">
      <c r="A103" s="15" t="s">
        <v>266</v>
      </c>
      <c r="B103">
        <v>-169</v>
      </c>
    </row>
    <row r="104" spans="1:2" x14ac:dyDescent="0.2">
      <c r="A104" s="15" t="s">
        <v>34</v>
      </c>
      <c r="B104">
        <v>81</v>
      </c>
    </row>
    <row r="105" spans="1:2" x14ac:dyDescent="0.2">
      <c r="A105" s="15" t="s">
        <v>36</v>
      </c>
      <c r="B105">
        <v>77</v>
      </c>
    </row>
    <row r="106" spans="1:2" x14ac:dyDescent="0.2">
      <c r="A106" s="15" t="s">
        <v>299</v>
      </c>
      <c r="B106">
        <v>-20</v>
      </c>
    </row>
    <row r="107" spans="1:2" x14ac:dyDescent="0.2">
      <c r="A107" s="15" t="s">
        <v>267</v>
      </c>
      <c r="B107">
        <v>-3</v>
      </c>
    </row>
    <row r="108" spans="1:2" x14ac:dyDescent="0.2">
      <c r="A108" s="15" t="s">
        <v>268</v>
      </c>
      <c r="B108">
        <v>-3</v>
      </c>
    </row>
    <row r="109" spans="1:2" x14ac:dyDescent="0.2">
      <c r="A109" s="15" t="s">
        <v>269</v>
      </c>
      <c r="B109">
        <v>-12</v>
      </c>
    </row>
    <row r="110" spans="1:2" x14ac:dyDescent="0.2">
      <c r="A110" s="15" t="s">
        <v>270</v>
      </c>
      <c r="B110">
        <v>-1</v>
      </c>
    </row>
    <row r="111" spans="1:2" x14ac:dyDescent="0.2">
      <c r="A111" s="15" t="s">
        <v>271</v>
      </c>
      <c r="B111">
        <v>-1</v>
      </c>
    </row>
    <row r="112" spans="1:2" x14ac:dyDescent="0.2">
      <c r="A112" s="15" t="s">
        <v>272</v>
      </c>
      <c r="B112">
        <v>-6</v>
      </c>
    </row>
    <row r="113" spans="1:2" x14ac:dyDescent="0.2">
      <c r="A113" s="15" t="s">
        <v>273</v>
      </c>
      <c r="B113">
        <v>-236</v>
      </c>
    </row>
    <row r="114" spans="1:2" x14ac:dyDescent="0.2">
      <c r="A114" s="15" t="s">
        <v>274</v>
      </c>
      <c r="B114">
        <v>-36</v>
      </c>
    </row>
    <row r="115" spans="1:2" x14ac:dyDescent="0.2">
      <c r="A115" s="15" t="s">
        <v>275</v>
      </c>
      <c r="B115">
        <v>-27</v>
      </c>
    </row>
    <row r="116" spans="1:2" x14ac:dyDescent="0.2">
      <c r="A116" s="15" t="s">
        <v>84</v>
      </c>
      <c r="B116">
        <v>124</v>
      </c>
    </row>
    <row r="117" spans="1:2" x14ac:dyDescent="0.2">
      <c r="A117" s="15" t="s">
        <v>300</v>
      </c>
      <c r="B117">
        <v>-20</v>
      </c>
    </row>
    <row r="118" spans="1:2" x14ac:dyDescent="0.2">
      <c r="A118" s="15" t="s">
        <v>28</v>
      </c>
      <c r="B118">
        <v>3</v>
      </c>
    </row>
    <row r="119" spans="1:2" x14ac:dyDescent="0.2">
      <c r="A119" s="15" t="s">
        <v>27</v>
      </c>
      <c r="B119">
        <v>88</v>
      </c>
    </row>
    <row r="120" spans="1:2" x14ac:dyDescent="0.2">
      <c r="A120" s="15" t="s">
        <v>31</v>
      </c>
      <c r="B120">
        <v>43</v>
      </c>
    </row>
    <row r="121" spans="1:2" x14ac:dyDescent="0.2">
      <c r="A121" s="15" t="s">
        <v>30</v>
      </c>
      <c r="B121">
        <v>77</v>
      </c>
    </row>
    <row r="122" spans="1:2" x14ac:dyDescent="0.2">
      <c r="A122" s="15" t="s">
        <v>276</v>
      </c>
      <c r="B122">
        <v>-95</v>
      </c>
    </row>
    <row r="123" spans="1:2" x14ac:dyDescent="0.2">
      <c r="A123" s="15" t="s">
        <v>109</v>
      </c>
      <c r="B123">
        <v>113</v>
      </c>
    </row>
    <row r="124" spans="1:2" x14ac:dyDescent="0.2">
      <c r="A124" s="15" t="s">
        <v>98</v>
      </c>
      <c r="B124">
        <v>158</v>
      </c>
    </row>
    <row r="125" spans="1:2" x14ac:dyDescent="0.2">
      <c r="A125" s="15" t="s">
        <v>193</v>
      </c>
      <c r="B125">
        <v>-4</v>
      </c>
    </row>
    <row r="126" spans="1:2" x14ac:dyDescent="0.2">
      <c r="A126" s="15" t="s">
        <v>25</v>
      </c>
      <c r="B126">
        <v>144</v>
      </c>
    </row>
    <row r="127" spans="1:2" x14ac:dyDescent="0.2">
      <c r="A127" s="15" t="s">
        <v>24</v>
      </c>
      <c r="B127">
        <v>481</v>
      </c>
    </row>
    <row r="128" spans="1:2" x14ac:dyDescent="0.2">
      <c r="A128" s="15" t="s">
        <v>277</v>
      </c>
      <c r="B128">
        <v>-29</v>
      </c>
    </row>
    <row r="129" spans="1:2" x14ac:dyDescent="0.2">
      <c r="A129" s="15" t="s">
        <v>22</v>
      </c>
      <c r="B129">
        <v>-201</v>
      </c>
    </row>
    <row r="130" spans="1:2" x14ac:dyDescent="0.2">
      <c r="A130" s="15" t="s">
        <v>278</v>
      </c>
      <c r="B130">
        <v>-290</v>
      </c>
    </row>
    <row r="131" spans="1:2" x14ac:dyDescent="0.2">
      <c r="A131" s="15" t="s">
        <v>279</v>
      </c>
      <c r="B131">
        <v>-240</v>
      </c>
    </row>
    <row r="132" spans="1:2" x14ac:dyDescent="0.2">
      <c r="A132" s="15" t="s">
        <v>26</v>
      </c>
      <c r="B132">
        <v>174</v>
      </c>
    </row>
    <row r="133" spans="1:2" x14ac:dyDescent="0.2">
      <c r="A133" s="15" t="s">
        <v>301</v>
      </c>
      <c r="B133">
        <v>-20</v>
      </c>
    </row>
    <row r="134" spans="1:2" x14ac:dyDescent="0.2">
      <c r="A134" s="15" t="s">
        <v>86</v>
      </c>
      <c r="B134">
        <v>9</v>
      </c>
    </row>
    <row r="135" spans="1:2" x14ac:dyDescent="0.2">
      <c r="A135" s="15" t="s">
        <v>90</v>
      </c>
      <c r="B135">
        <v>181</v>
      </c>
    </row>
    <row r="136" spans="1:2" x14ac:dyDescent="0.2">
      <c r="A136" s="15" t="s">
        <v>538</v>
      </c>
      <c r="B136">
        <v>436</v>
      </c>
    </row>
    <row r="137" spans="1:2" x14ac:dyDescent="0.2">
      <c r="A137" s="15" t="s">
        <v>42</v>
      </c>
      <c r="B137">
        <v>639</v>
      </c>
    </row>
    <row r="138" spans="1:2" x14ac:dyDescent="0.2">
      <c r="A138" s="15" t="s">
        <v>280</v>
      </c>
      <c r="B138">
        <v>-71</v>
      </c>
    </row>
    <row r="139" spans="1:2" x14ac:dyDescent="0.2">
      <c r="A139" s="15" t="s">
        <v>50</v>
      </c>
      <c r="B139">
        <v>74</v>
      </c>
    </row>
    <row r="140" spans="1:2" x14ac:dyDescent="0.2">
      <c r="A140" s="15" t="s">
        <v>281</v>
      </c>
      <c r="B140">
        <v>-54</v>
      </c>
    </row>
    <row r="141" spans="1:2" x14ac:dyDescent="0.2">
      <c r="A141" s="15" t="s">
        <v>282</v>
      </c>
      <c r="B141">
        <v>-39</v>
      </c>
    </row>
    <row r="142" spans="1:2" x14ac:dyDescent="0.2">
      <c r="A142" s="15" t="s">
        <v>283</v>
      </c>
      <c r="B142">
        <v>-152</v>
      </c>
    </row>
    <row r="143" spans="1:2" x14ac:dyDescent="0.2">
      <c r="A143" s="15" t="s">
        <v>284</v>
      </c>
      <c r="B143">
        <v>-30</v>
      </c>
    </row>
    <row r="144" spans="1:2" x14ac:dyDescent="0.2">
      <c r="A144" s="15" t="s">
        <v>41</v>
      </c>
      <c r="B144">
        <v>-381</v>
      </c>
    </row>
    <row r="145" spans="1:2" x14ac:dyDescent="0.2">
      <c r="A145" s="15" t="s">
        <v>285</v>
      </c>
      <c r="B145">
        <v>-469</v>
      </c>
    </row>
    <row r="146" spans="1:2" x14ac:dyDescent="0.2">
      <c r="A146" s="15" t="s">
        <v>286</v>
      </c>
      <c r="B146">
        <v>-165</v>
      </c>
    </row>
    <row r="147" spans="1:2" x14ac:dyDescent="0.2">
      <c r="A147" s="15" t="s">
        <v>47</v>
      </c>
      <c r="B147">
        <v>99</v>
      </c>
    </row>
    <row r="148" spans="1:2" x14ac:dyDescent="0.2">
      <c r="A148" s="15" t="s">
        <v>46</v>
      </c>
      <c r="B148">
        <v>525</v>
      </c>
    </row>
    <row r="149" spans="1:2" x14ac:dyDescent="0.2">
      <c r="A149" s="15" t="s">
        <v>194</v>
      </c>
      <c r="B149">
        <v>-505</v>
      </c>
    </row>
    <row r="150" spans="1:2" x14ac:dyDescent="0.2">
      <c r="A150" s="15" t="s">
        <v>287</v>
      </c>
      <c r="B150">
        <v>-121</v>
      </c>
    </row>
    <row r="151" spans="1:2" x14ac:dyDescent="0.2">
      <c r="A151" s="15" t="s">
        <v>48</v>
      </c>
      <c r="B151">
        <v>218</v>
      </c>
    </row>
    <row r="152" spans="1:2" x14ac:dyDescent="0.2">
      <c r="A152" s="15" t="s">
        <v>288</v>
      </c>
      <c r="B152">
        <v>-435</v>
      </c>
    </row>
    <row r="153" spans="1:2" x14ac:dyDescent="0.2">
      <c r="A153" s="15" t="s">
        <v>38</v>
      </c>
      <c r="B153">
        <v>-123</v>
      </c>
    </row>
    <row r="154" spans="1:2" x14ac:dyDescent="0.2">
      <c r="A154" s="15" t="s">
        <v>37</v>
      </c>
      <c r="B154">
        <v>23</v>
      </c>
    </row>
    <row r="155" spans="1:2" x14ac:dyDescent="0.2">
      <c r="A155" s="15" t="s">
        <v>51</v>
      </c>
      <c r="B155">
        <v>57</v>
      </c>
    </row>
    <row r="156" spans="1:2" x14ac:dyDescent="0.2">
      <c r="A156" s="15" t="s">
        <v>49</v>
      </c>
      <c r="B156">
        <v>191</v>
      </c>
    </row>
    <row r="157" spans="1:2" x14ac:dyDescent="0.2">
      <c r="A157" s="15" t="s">
        <v>302</v>
      </c>
      <c r="B157">
        <v>-15</v>
      </c>
    </row>
    <row r="158" spans="1:2" x14ac:dyDescent="0.2">
      <c r="A158" s="15" t="s">
        <v>82</v>
      </c>
      <c r="B158">
        <v>30</v>
      </c>
    </row>
    <row r="159" spans="1:2" x14ac:dyDescent="0.2">
      <c r="A159" s="15" t="s">
        <v>17</v>
      </c>
      <c r="B159">
        <v>841</v>
      </c>
    </row>
    <row r="160" spans="1:2" x14ac:dyDescent="0.2">
      <c r="A160" s="15" t="s">
        <v>10</v>
      </c>
      <c r="B160">
        <v>13</v>
      </c>
    </row>
    <row r="161" spans="1:2" x14ac:dyDescent="0.2">
      <c r="A161" s="15" t="s">
        <v>13</v>
      </c>
      <c r="B161">
        <v>63</v>
      </c>
    </row>
    <row r="162" spans="1:2" x14ac:dyDescent="0.2">
      <c r="A162" s="15" t="s">
        <v>5</v>
      </c>
      <c r="B162">
        <v>81</v>
      </c>
    </row>
    <row r="163" spans="1:2" x14ac:dyDescent="0.2">
      <c r="A163" s="15" t="s">
        <v>9</v>
      </c>
      <c r="B163">
        <v>252</v>
      </c>
    </row>
    <row r="164" spans="1:2" x14ac:dyDescent="0.2">
      <c r="A164" s="15" t="s">
        <v>289</v>
      </c>
      <c r="B164">
        <v>-177</v>
      </c>
    </row>
    <row r="165" spans="1:2" x14ac:dyDescent="0.2">
      <c r="A165" s="15" t="s">
        <v>195</v>
      </c>
      <c r="B165">
        <v>-156</v>
      </c>
    </row>
    <row r="166" spans="1:2" x14ac:dyDescent="0.2">
      <c r="A166" s="15" t="s">
        <v>15</v>
      </c>
      <c r="B166">
        <v>519</v>
      </c>
    </row>
    <row r="167" spans="1:2" x14ac:dyDescent="0.2">
      <c r="A167" s="15" t="s">
        <v>196</v>
      </c>
      <c r="B167">
        <v>-460</v>
      </c>
    </row>
    <row r="168" spans="1:2" x14ac:dyDescent="0.2">
      <c r="A168" s="15" t="s">
        <v>197</v>
      </c>
      <c r="B168">
        <v>-268</v>
      </c>
    </row>
    <row r="169" spans="1:2" x14ac:dyDescent="0.2">
      <c r="A169" s="15" t="s">
        <v>16</v>
      </c>
      <c r="B169">
        <v>561</v>
      </c>
    </row>
    <row r="170" spans="1:2" x14ac:dyDescent="0.2">
      <c r="A170" s="15" t="s">
        <v>198</v>
      </c>
      <c r="B170">
        <v>-869</v>
      </c>
    </row>
    <row r="171" spans="1:2" x14ac:dyDescent="0.2">
      <c r="A171" s="15" t="s">
        <v>20</v>
      </c>
      <c r="B171">
        <v>72</v>
      </c>
    </row>
    <row r="172" spans="1:2" x14ac:dyDescent="0.2">
      <c r="A172" s="15" t="s">
        <v>21</v>
      </c>
      <c r="B172">
        <v>103</v>
      </c>
    </row>
    <row r="173" spans="1:2" x14ac:dyDescent="0.2">
      <c r="A173" s="15" t="s">
        <v>12</v>
      </c>
      <c r="B173">
        <v>44</v>
      </c>
    </row>
    <row r="174" spans="1:2" x14ac:dyDescent="0.2">
      <c r="A174" s="15" t="s">
        <v>8</v>
      </c>
      <c r="B174">
        <v>417</v>
      </c>
    </row>
    <row r="175" spans="1:2" x14ac:dyDescent="0.2">
      <c r="A175" s="15" t="s">
        <v>14</v>
      </c>
      <c r="B175">
        <v>140</v>
      </c>
    </row>
    <row r="176" spans="1:2" x14ac:dyDescent="0.2">
      <c r="A176" s="15" t="s">
        <v>88</v>
      </c>
      <c r="B176">
        <v>28</v>
      </c>
    </row>
    <row r="177" spans="1:2" x14ac:dyDescent="0.2">
      <c r="A177" s="15" t="s">
        <v>290</v>
      </c>
      <c r="B177">
        <v>-5</v>
      </c>
    </row>
    <row r="178" spans="1:2" x14ac:dyDescent="0.2">
      <c r="A178" s="15" t="s">
        <v>39</v>
      </c>
      <c r="B178">
        <v>44</v>
      </c>
    </row>
    <row r="179" spans="1:2" x14ac:dyDescent="0.2">
      <c r="A179" s="15" t="s">
        <v>40</v>
      </c>
      <c r="B179">
        <v>18</v>
      </c>
    </row>
    <row r="180" spans="1:2" x14ac:dyDescent="0.2">
      <c r="A180" s="15" t="s">
        <v>541</v>
      </c>
      <c r="B180">
        <v>88</v>
      </c>
    </row>
    <row r="181" spans="1:2" x14ac:dyDescent="0.2">
      <c r="A181" s="15" t="s">
        <v>291</v>
      </c>
      <c r="B181">
        <v>-68</v>
      </c>
    </row>
    <row r="182" spans="1:2" x14ac:dyDescent="0.2">
      <c r="A182" s="15" t="s">
        <v>64</v>
      </c>
      <c r="B182">
        <v>497</v>
      </c>
    </row>
    <row r="183" spans="1:2" x14ac:dyDescent="0.2">
      <c r="A183" s="15" t="s">
        <v>69</v>
      </c>
      <c r="B183">
        <v>23</v>
      </c>
    </row>
    <row r="184" spans="1:2" x14ac:dyDescent="0.2">
      <c r="A184" s="15" t="s">
        <v>292</v>
      </c>
      <c r="B184">
        <v>-85</v>
      </c>
    </row>
    <row r="185" spans="1:2" x14ac:dyDescent="0.2">
      <c r="A185" s="15" t="s">
        <v>67</v>
      </c>
      <c r="B185">
        <v>197</v>
      </c>
    </row>
    <row r="186" spans="1:2" x14ac:dyDescent="0.2">
      <c r="A186" s="15" t="s">
        <v>71</v>
      </c>
      <c r="B186">
        <v>412</v>
      </c>
    </row>
    <row r="187" spans="1:2" x14ac:dyDescent="0.2">
      <c r="A187" s="15" t="s">
        <v>544</v>
      </c>
      <c r="B187">
        <v>77</v>
      </c>
    </row>
    <row r="188" spans="1:2" x14ac:dyDescent="0.2">
      <c r="A188" s="15" t="s">
        <v>293</v>
      </c>
      <c r="B188">
        <v>-7</v>
      </c>
    </row>
    <row r="189" spans="1:2" x14ac:dyDescent="0.2">
      <c r="A189" s="15" t="s">
        <v>68</v>
      </c>
      <c r="B189">
        <v>18</v>
      </c>
    </row>
    <row r="190" spans="1:2" x14ac:dyDescent="0.2">
      <c r="A190" s="15" t="s">
        <v>66</v>
      </c>
      <c r="B190">
        <v>39</v>
      </c>
    </row>
    <row r="191" spans="1:2" x14ac:dyDescent="0.2">
      <c r="A191" s="15" t="s">
        <v>294</v>
      </c>
      <c r="B191">
        <v>-8</v>
      </c>
    </row>
    <row r="192" spans="1:2" x14ac:dyDescent="0.2">
      <c r="A192" s="15" t="s">
        <v>199</v>
      </c>
      <c r="B192">
        <v>-406</v>
      </c>
    </row>
    <row r="193" spans="1:2" x14ac:dyDescent="0.2">
      <c r="A193" s="15" t="s">
        <v>70</v>
      </c>
      <c r="B193">
        <v>370</v>
      </c>
    </row>
    <row r="194" spans="1:2" x14ac:dyDescent="0.2">
      <c r="A194" s="15" t="s">
        <v>295</v>
      </c>
      <c r="B194">
        <v>-41</v>
      </c>
    </row>
    <row r="195" spans="1:2" x14ac:dyDescent="0.2">
      <c r="A195" s="15" t="s">
        <v>296</v>
      </c>
      <c r="B195">
        <v>-14</v>
      </c>
    </row>
    <row r="196" spans="1:2" x14ac:dyDescent="0.2">
      <c r="A196" s="15" t="s">
        <v>297</v>
      </c>
      <c r="B196">
        <v>-3</v>
      </c>
    </row>
    <row r="197" spans="1:2" x14ac:dyDescent="0.2">
      <c r="A197" s="15" t="s">
        <v>298</v>
      </c>
      <c r="B197">
        <v>-2</v>
      </c>
    </row>
    <row r="198" spans="1:2" x14ac:dyDescent="0.2">
      <c r="A198" s="15" t="s">
        <v>486</v>
      </c>
      <c r="B198">
        <v>-25.16</v>
      </c>
    </row>
    <row r="199" spans="1:2" x14ac:dyDescent="0.2">
      <c r="A199" s="15" t="s">
        <v>487</v>
      </c>
      <c r="B199">
        <v>-7.18</v>
      </c>
    </row>
    <row r="200" spans="1:2" x14ac:dyDescent="0.2">
      <c r="A200" s="15" t="s">
        <v>488</v>
      </c>
      <c r="B200">
        <v>-20.16</v>
      </c>
    </row>
    <row r="201" spans="1:2" x14ac:dyDescent="0.2">
      <c r="A201" s="15" t="s">
        <v>489</v>
      </c>
      <c r="B201">
        <v>-1289.83</v>
      </c>
    </row>
    <row r="202" spans="1:2" x14ac:dyDescent="0.2">
      <c r="A202" s="15" t="s">
        <v>490</v>
      </c>
      <c r="B202">
        <v>-790.96</v>
      </c>
    </row>
    <row r="203" spans="1:2" x14ac:dyDescent="0.2">
      <c r="A203" s="15" t="s">
        <v>491</v>
      </c>
      <c r="B203">
        <v>-2051.75</v>
      </c>
    </row>
    <row r="204" spans="1:2" x14ac:dyDescent="0.2">
      <c r="A204" s="15" t="s">
        <v>492</v>
      </c>
      <c r="B204">
        <v>-70</v>
      </c>
    </row>
    <row r="205" spans="1:2" x14ac:dyDescent="0.2">
      <c r="A205" s="15" t="s">
        <v>493</v>
      </c>
      <c r="B205">
        <v>-875.03</v>
      </c>
    </row>
    <row r="206" spans="1:2" x14ac:dyDescent="0.2">
      <c r="A206" s="15" t="s">
        <v>494</v>
      </c>
      <c r="B206">
        <v>-68.260000000000005</v>
      </c>
    </row>
    <row r="207" spans="1:2" x14ac:dyDescent="0.2">
      <c r="A207" s="15" t="s">
        <v>495</v>
      </c>
      <c r="B207">
        <v>-596</v>
      </c>
    </row>
    <row r="208" spans="1:2" x14ac:dyDescent="0.2">
      <c r="A208" s="15" t="s">
        <v>496</v>
      </c>
      <c r="B208">
        <v>-166.4</v>
      </c>
    </row>
    <row r="209" spans="1:2" x14ac:dyDescent="0.2">
      <c r="A209" s="15" t="s">
        <v>168</v>
      </c>
      <c r="B209">
        <v>-180.27999999999997</v>
      </c>
    </row>
    <row r="210" spans="1:2" x14ac:dyDescent="0.2">
      <c r="A210" s="15" t="s">
        <v>172</v>
      </c>
      <c r="B210">
        <v>320.26</v>
      </c>
    </row>
    <row r="211" spans="1:2" x14ac:dyDescent="0.2">
      <c r="A211" s="15" t="s">
        <v>166</v>
      </c>
      <c r="B211">
        <v>294.25</v>
      </c>
    </row>
    <row r="212" spans="1:2" x14ac:dyDescent="0.2">
      <c r="A212" s="15" t="s">
        <v>170</v>
      </c>
      <c r="B212">
        <v>-629.25</v>
      </c>
    </row>
    <row r="213" spans="1:2" x14ac:dyDescent="0.2">
      <c r="A213" s="15" t="s">
        <v>169</v>
      </c>
      <c r="B213">
        <v>660.04000000000008</v>
      </c>
    </row>
    <row r="214" spans="1:2" x14ac:dyDescent="0.2">
      <c r="A214" s="15" t="s">
        <v>497</v>
      </c>
      <c r="B214">
        <v>-386.49</v>
      </c>
    </row>
    <row r="215" spans="1:2" x14ac:dyDescent="0.2">
      <c r="A215" s="15" t="s">
        <v>498</v>
      </c>
      <c r="B215">
        <v>-186.61</v>
      </c>
    </row>
    <row r="216" spans="1:2" x14ac:dyDescent="0.2">
      <c r="A216" s="15" t="s">
        <v>164</v>
      </c>
      <c r="B216">
        <v>188.64</v>
      </c>
    </row>
    <row r="217" spans="1:2" x14ac:dyDescent="0.2">
      <c r="A217" s="15" t="s">
        <v>171</v>
      </c>
      <c r="B217">
        <v>-1124.6799999999998</v>
      </c>
    </row>
    <row r="218" spans="1:2" x14ac:dyDescent="0.2">
      <c r="A218" s="15" t="s">
        <v>167</v>
      </c>
      <c r="B218">
        <v>721.19</v>
      </c>
    </row>
    <row r="219" spans="1:2" x14ac:dyDescent="0.2">
      <c r="A219" s="15" t="s">
        <v>179</v>
      </c>
      <c r="B219">
        <v>243.77</v>
      </c>
    </row>
    <row r="220" spans="1:2" x14ac:dyDescent="0.2">
      <c r="A220" s="15" t="s">
        <v>178</v>
      </c>
      <c r="B220">
        <v>203.87</v>
      </c>
    </row>
    <row r="221" spans="1:2" x14ac:dyDescent="0.2">
      <c r="A221" s="15" t="s">
        <v>173</v>
      </c>
      <c r="B221">
        <v>385.16</v>
      </c>
    </row>
    <row r="222" spans="1:2" x14ac:dyDescent="0.2">
      <c r="A222" s="15" t="s">
        <v>177</v>
      </c>
      <c r="B222">
        <v>550.04</v>
      </c>
    </row>
    <row r="223" spans="1:2" x14ac:dyDescent="0.2">
      <c r="A223" s="15" t="s">
        <v>176</v>
      </c>
      <c r="B223">
        <v>1229.5900000000001</v>
      </c>
    </row>
    <row r="224" spans="1:2" x14ac:dyDescent="0.2">
      <c r="A224" s="15" t="s">
        <v>174</v>
      </c>
      <c r="B224">
        <v>891.01</v>
      </c>
    </row>
    <row r="225" spans="1:2" x14ac:dyDescent="0.2">
      <c r="A225" s="15" t="s">
        <v>175</v>
      </c>
      <c r="B225">
        <v>61.65</v>
      </c>
    </row>
    <row r="226" spans="1:2" x14ac:dyDescent="0.2">
      <c r="A226" s="15" t="s">
        <v>499</v>
      </c>
      <c r="B226">
        <v>-6.64</v>
      </c>
    </row>
    <row r="227" spans="1:2" x14ac:dyDescent="0.2">
      <c r="A227" s="15" t="s">
        <v>500</v>
      </c>
      <c r="B227">
        <v>-12.15</v>
      </c>
    </row>
    <row r="228" spans="1:2" x14ac:dyDescent="0.2">
      <c r="A228" s="15" t="s">
        <v>501</v>
      </c>
      <c r="B228">
        <v>-162.00800000000001</v>
      </c>
    </row>
    <row r="229" spans="1:2" x14ac:dyDescent="0.2">
      <c r="A229" s="15" t="s">
        <v>502</v>
      </c>
      <c r="B229">
        <v>-56.27</v>
      </c>
    </row>
    <row r="230" spans="1:2" x14ac:dyDescent="0.2">
      <c r="A230" s="15" t="s">
        <v>503</v>
      </c>
      <c r="B230">
        <v>-1129.8</v>
      </c>
    </row>
    <row r="231" spans="1:2" x14ac:dyDescent="0.2">
      <c r="A231" s="15" t="s">
        <v>504</v>
      </c>
      <c r="B231">
        <v>-69.22</v>
      </c>
    </row>
    <row r="232" spans="1:2" x14ac:dyDescent="0.2">
      <c r="A232" s="15" t="s">
        <v>505</v>
      </c>
      <c r="B232">
        <v>-28.71</v>
      </c>
    </row>
    <row r="233" spans="1:2" x14ac:dyDescent="0.2">
      <c r="A233" s="15" t="s">
        <v>506</v>
      </c>
      <c r="B233">
        <v>-1375.11</v>
      </c>
    </row>
    <row r="234" spans="1:2" x14ac:dyDescent="0.2">
      <c r="A234" s="15" t="s">
        <v>507</v>
      </c>
      <c r="B234">
        <v>-170.69</v>
      </c>
    </row>
    <row r="235" spans="1:2" x14ac:dyDescent="0.2">
      <c r="A235" s="15" t="s">
        <v>508</v>
      </c>
      <c r="B235">
        <v>-35.83</v>
      </c>
    </row>
    <row r="236" spans="1:2" x14ac:dyDescent="0.2">
      <c r="A236" s="15" t="s">
        <v>144</v>
      </c>
      <c r="B236">
        <v>92.52</v>
      </c>
    </row>
    <row r="237" spans="1:2" x14ac:dyDescent="0.2">
      <c r="A237" s="15" t="s">
        <v>146</v>
      </c>
      <c r="B237">
        <v>316.14</v>
      </c>
    </row>
    <row r="238" spans="1:2" x14ac:dyDescent="0.2">
      <c r="A238" s="15" t="s">
        <v>185</v>
      </c>
      <c r="B238">
        <v>86.800000000000011</v>
      </c>
    </row>
    <row r="239" spans="1:2" x14ac:dyDescent="0.2">
      <c r="A239" s="15" t="s">
        <v>509</v>
      </c>
      <c r="B239">
        <v>-96.24</v>
      </c>
    </row>
    <row r="240" spans="1:2" x14ac:dyDescent="0.2">
      <c r="A240" s="15" t="s">
        <v>510</v>
      </c>
      <c r="B240">
        <v>-185.45999999999998</v>
      </c>
    </row>
    <row r="241" spans="1:2" x14ac:dyDescent="0.2">
      <c r="A241" s="15" t="s">
        <v>141</v>
      </c>
      <c r="B241">
        <v>-165.18</v>
      </c>
    </row>
    <row r="242" spans="1:2" x14ac:dyDescent="0.2">
      <c r="A242" s="15" t="s">
        <v>143</v>
      </c>
      <c r="B242">
        <v>-128.05000000000001</v>
      </c>
    </row>
    <row r="243" spans="1:2" x14ac:dyDescent="0.2">
      <c r="A243" s="15" t="s">
        <v>145</v>
      </c>
      <c r="B243">
        <v>26.65</v>
      </c>
    </row>
    <row r="244" spans="1:2" x14ac:dyDescent="0.2">
      <c r="A244" s="15" t="s">
        <v>511</v>
      </c>
      <c r="B244">
        <v>-317.56</v>
      </c>
    </row>
    <row r="245" spans="1:2" x14ac:dyDescent="0.2">
      <c r="A245" s="15" t="s">
        <v>153</v>
      </c>
      <c r="B245">
        <v>-335.68999999999994</v>
      </c>
    </row>
    <row r="246" spans="1:2" x14ac:dyDescent="0.2">
      <c r="A246" s="15" t="s">
        <v>154</v>
      </c>
      <c r="B246">
        <v>-466.32</v>
      </c>
    </row>
    <row r="247" spans="1:2" x14ac:dyDescent="0.2">
      <c r="A247" s="15" t="s">
        <v>147</v>
      </c>
      <c r="B247">
        <v>-12.650000000000091</v>
      </c>
    </row>
    <row r="248" spans="1:2" x14ac:dyDescent="0.2">
      <c r="A248" s="15" t="s">
        <v>152</v>
      </c>
      <c r="B248">
        <v>520.85</v>
      </c>
    </row>
    <row r="249" spans="1:2" x14ac:dyDescent="0.2">
      <c r="A249" s="15" t="s">
        <v>182</v>
      </c>
      <c r="B249">
        <v>136.59</v>
      </c>
    </row>
    <row r="250" spans="1:2" x14ac:dyDescent="0.2">
      <c r="A250" s="15" t="s">
        <v>151</v>
      </c>
      <c r="B250">
        <v>-964.4699999999998</v>
      </c>
    </row>
    <row r="251" spans="1:2" x14ac:dyDescent="0.2">
      <c r="A251" s="15" t="s">
        <v>149</v>
      </c>
      <c r="B251">
        <v>3.4900000000000091</v>
      </c>
    </row>
    <row r="252" spans="1:2" x14ac:dyDescent="0.2">
      <c r="A252" s="15" t="s">
        <v>150</v>
      </c>
      <c r="B252">
        <v>742.3</v>
      </c>
    </row>
    <row r="253" spans="1:2" x14ac:dyDescent="0.2">
      <c r="A253" s="15" t="s">
        <v>140</v>
      </c>
      <c r="B253">
        <v>9.9999999999909051E-2</v>
      </c>
    </row>
    <row r="254" spans="1:2" x14ac:dyDescent="0.2">
      <c r="A254" s="15" t="s">
        <v>155</v>
      </c>
      <c r="B254">
        <v>73.329999999999927</v>
      </c>
    </row>
    <row r="255" spans="1:2" x14ac:dyDescent="0.2">
      <c r="A255" s="15" t="s">
        <v>159</v>
      </c>
      <c r="B255">
        <v>-19.390000000000015</v>
      </c>
    </row>
    <row r="256" spans="1:2" x14ac:dyDescent="0.2">
      <c r="A256" s="15" t="s">
        <v>157</v>
      </c>
      <c r="B256">
        <v>-659.64</v>
      </c>
    </row>
    <row r="257" spans="1:2" x14ac:dyDescent="0.2">
      <c r="A257" s="15" t="s">
        <v>184</v>
      </c>
      <c r="B257">
        <v>816.57</v>
      </c>
    </row>
    <row r="258" spans="1:2" x14ac:dyDescent="0.2">
      <c r="A258" s="15" t="s">
        <v>183</v>
      </c>
      <c r="B258">
        <v>793.96</v>
      </c>
    </row>
    <row r="259" spans="1:2" x14ac:dyDescent="0.2">
      <c r="A259" s="15" t="s">
        <v>512</v>
      </c>
      <c r="B259">
        <v>-11.65</v>
      </c>
    </row>
    <row r="260" spans="1:2" x14ac:dyDescent="0.2">
      <c r="A260" s="15" t="s">
        <v>162</v>
      </c>
      <c r="B260">
        <v>142.13</v>
      </c>
    </row>
    <row r="261" spans="1:2" x14ac:dyDescent="0.2">
      <c r="A261" s="15" t="s">
        <v>161</v>
      </c>
      <c r="B261">
        <v>-355.08</v>
      </c>
    </row>
    <row r="262" spans="1:2" x14ac:dyDescent="0.2">
      <c r="A262" s="15" t="s">
        <v>158</v>
      </c>
      <c r="B262">
        <v>-1042.8200000000002</v>
      </c>
    </row>
    <row r="263" spans="1:2" x14ac:dyDescent="0.2">
      <c r="A263" s="15" t="s">
        <v>160</v>
      </c>
      <c r="B263">
        <v>149.59</v>
      </c>
    </row>
    <row r="264" spans="1:2" x14ac:dyDescent="0.2">
      <c r="A264" s="15" t="s">
        <v>163</v>
      </c>
      <c r="B264">
        <v>246.88000000000005</v>
      </c>
    </row>
    <row r="265" spans="1:2" x14ac:dyDescent="0.2">
      <c r="A265" s="15" t="s">
        <v>513</v>
      </c>
      <c r="B265">
        <v>-17.95</v>
      </c>
    </row>
    <row r="266" spans="1:2" x14ac:dyDescent="0.2">
      <c r="A266" s="15" t="s">
        <v>514</v>
      </c>
      <c r="B266">
        <v>-469.22</v>
      </c>
    </row>
    <row r="267" spans="1:2" x14ac:dyDescent="0.2">
      <c r="A267" s="15" t="s">
        <v>515</v>
      </c>
      <c r="B267">
        <v>-77.900000000000006</v>
      </c>
    </row>
    <row r="268" spans="1:2" x14ac:dyDescent="0.2">
      <c r="A268" s="15" t="s">
        <v>129</v>
      </c>
      <c r="B268">
        <v>114.80000000000001</v>
      </c>
    </row>
    <row r="269" spans="1:2" x14ac:dyDescent="0.2">
      <c r="A269" s="15" t="s">
        <v>130</v>
      </c>
      <c r="B269">
        <v>115.72</v>
      </c>
    </row>
    <row r="270" spans="1:2" x14ac:dyDescent="0.2">
      <c r="A270" s="15" t="s">
        <v>120</v>
      </c>
      <c r="B270">
        <v>728.85</v>
      </c>
    </row>
    <row r="271" spans="1:2" x14ac:dyDescent="0.2">
      <c r="A271" s="15" t="s">
        <v>123</v>
      </c>
      <c r="B271">
        <v>1797.6599999999999</v>
      </c>
    </row>
    <row r="272" spans="1:2" x14ac:dyDescent="0.2">
      <c r="A272" s="15" t="s">
        <v>125</v>
      </c>
      <c r="B272">
        <v>2229.9899999999998</v>
      </c>
    </row>
    <row r="273" spans="1:2" x14ac:dyDescent="0.2">
      <c r="A273" s="15" t="s">
        <v>126</v>
      </c>
      <c r="B273">
        <v>407.31000000000006</v>
      </c>
    </row>
    <row r="274" spans="1:2" x14ac:dyDescent="0.2">
      <c r="A274" s="15" t="s">
        <v>122</v>
      </c>
      <c r="B274">
        <v>-1967.4599999999998</v>
      </c>
    </row>
    <row r="275" spans="1:2" x14ac:dyDescent="0.2">
      <c r="A275" s="15" t="s">
        <v>124</v>
      </c>
      <c r="B275">
        <v>3.5</v>
      </c>
    </row>
    <row r="276" spans="1:2" x14ac:dyDescent="0.2">
      <c r="A276" s="15" t="s">
        <v>127</v>
      </c>
      <c r="B276">
        <v>-485.33000000000015</v>
      </c>
    </row>
    <row r="277" spans="1:2" x14ac:dyDescent="0.2">
      <c r="A277" s="15" t="s">
        <v>516</v>
      </c>
      <c r="B277">
        <v>-38.9</v>
      </c>
    </row>
    <row r="278" spans="1:2" x14ac:dyDescent="0.2">
      <c r="A278" s="15" t="s">
        <v>128</v>
      </c>
      <c r="B278">
        <v>-126.11999999999989</v>
      </c>
    </row>
    <row r="279" spans="1:2" x14ac:dyDescent="0.2">
      <c r="A279" s="15" t="s">
        <v>131</v>
      </c>
      <c r="B279">
        <v>24.36</v>
      </c>
    </row>
    <row r="280" spans="1:2" x14ac:dyDescent="0.2">
      <c r="A280" s="15" t="s">
        <v>517</v>
      </c>
      <c r="B280">
        <v>-761.62</v>
      </c>
    </row>
    <row r="281" spans="1:2" x14ac:dyDescent="0.2">
      <c r="A281" s="15" t="s">
        <v>518</v>
      </c>
      <c r="B281">
        <v>-831.07</v>
      </c>
    </row>
    <row r="282" spans="1:2" x14ac:dyDescent="0.2">
      <c r="A282" s="15" t="s">
        <v>135</v>
      </c>
      <c r="B282">
        <v>509.27</v>
      </c>
    </row>
    <row r="283" spans="1:2" x14ac:dyDescent="0.2">
      <c r="A283" s="15" t="s">
        <v>519</v>
      </c>
      <c r="B283">
        <v>-192.6</v>
      </c>
    </row>
    <row r="284" spans="1:2" x14ac:dyDescent="0.2">
      <c r="A284" s="15" t="s">
        <v>132</v>
      </c>
      <c r="B284">
        <v>339.01000000000005</v>
      </c>
    </row>
    <row r="285" spans="1:2" x14ac:dyDescent="0.2">
      <c r="A285" s="15" t="s">
        <v>136</v>
      </c>
      <c r="B285">
        <v>637.41</v>
      </c>
    </row>
    <row r="286" spans="1:2" x14ac:dyDescent="0.2">
      <c r="A286" s="15" t="s">
        <v>181</v>
      </c>
      <c r="B286">
        <v>96.55</v>
      </c>
    </row>
    <row r="287" spans="1:2" x14ac:dyDescent="0.2">
      <c r="A287" s="15" t="s">
        <v>139</v>
      </c>
      <c r="B287">
        <v>248.25</v>
      </c>
    </row>
    <row r="288" spans="1:2" x14ac:dyDescent="0.2">
      <c r="A288" s="15" t="s">
        <v>138</v>
      </c>
      <c r="B288">
        <v>277.43</v>
      </c>
    </row>
    <row r="289" spans="1:2" x14ac:dyDescent="0.2">
      <c r="A289" s="15" t="s">
        <v>520</v>
      </c>
      <c r="B289">
        <v>-21.87</v>
      </c>
    </row>
    <row r="290" spans="1:2" x14ac:dyDescent="0.2">
      <c r="A290" s="15" t="s">
        <v>134</v>
      </c>
      <c r="B290">
        <v>891.56999999999994</v>
      </c>
    </row>
    <row r="291" spans="1:2" x14ac:dyDescent="0.2">
      <c r="A291" s="15" t="s">
        <v>137</v>
      </c>
      <c r="B291">
        <v>206.48000000000002</v>
      </c>
    </row>
    <row r="292" spans="1:2" x14ac:dyDescent="0.2">
      <c r="A292" s="15" t="s">
        <v>521</v>
      </c>
      <c r="B292">
        <v>-177.83</v>
      </c>
    </row>
    <row r="293" spans="1:2" x14ac:dyDescent="0.2">
      <c r="A293" s="15" t="s">
        <v>522</v>
      </c>
      <c r="B293">
        <v>-2603.8200000000002</v>
      </c>
    </row>
    <row r="294" spans="1:2" x14ac:dyDescent="0.2">
      <c r="A294" s="15" t="s">
        <v>523</v>
      </c>
      <c r="B294">
        <v>-364.52</v>
      </c>
    </row>
    <row r="295" spans="1:2" x14ac:dyDescent="0.2">
      <c r="A295" s="15" t="s">
        <v>524</v>
      </c>
      <c r="B295">
        <v>-228.8</v>
      </c>
    </row>
    <row r="296" spans="1:2" x14ac:dyDescent="0.2">
      <c r="A296" s="15" t="s">
        <v>525</v>
      </c>
      <c r="B296">
        <v>-18.850000000000001</v>
      </c>
    </row>
    <row r="297" spans="1:2" x14ac:dyDescent="0.2">
      <c r="A297" s="15" t="s">
        <v>526</v>
      </c>
      <c r="B297">
        <v>-571.58000000000004</v>
      </c>
    </row>
    <row r="298" spans="1:2" x14ac:dyDescent="0.2">
      <c r="A298" s="15" t="s">
        <v>101</v>
      </c>
      <c r="B298">
        <v>9</v>
      </c>
    </row>
    <row r="299" spans="1:2" x14ac:dyDescent="0.2">
      <c r="A299" s="15" t="s">
        <v>105</v>
      </c>
      <c r="B299">
        <v>57</v>
      </c>
    </row>
    <row r="300" spans="1:2" x14ac:dyDescent="0.2">
      <c r="A300" s="15" t="s">
        <v>104</v>
      </c>
      <c r="B300">
        <v>180</v>
      </c>
    </row>
    <row r="301" spans="1:2" x14ac:dyDescent="0.2">
      <c r="A301" s="15" t="s">
        <v>96</v>
      </c>
      <c r="B301">
        <v>112</v>
      </c>
    </row>
    <row r="302" spans="1:2" x14ac:dyDescent="0.2">
      <c r="A302" s="15" t="s">
        <v>94</v>
      </c>
      <c r="B302">
        <v>817</v>
      </c>
    </row>
    <row r="303" spans="1:2" x14ac:dyDescent="0.2">
      <c r="A303" s="15" t="s">
        <v>528</v>
      </c>
      <c r="B303">
        <v>-2466.578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DB06-F8B9-48F5-AAC8-DC649ABB2FFA}">
  <dimension ref="A2:Q347"/>
  <sheetViews>
    <sheetView workbookViewId="0">
      <selection activeCell="P31" sqref="P31"/>
    </sheetView>
  </sheetViews>
  <sheetFormatPr defaultRowHeight="14.25" x14ac:dyDescent="0.2"/>
  <cols>
    <col min="1" max="1" width="9" style="13"/>
    <col min="2" max="2" width="18.75" style="13" customWidth="1"/>
    <col min="3" max="6" width="9" style="13"/>
    <col min="12" max="12" width="38.125" bestFit="1" customWidth="1"/>
    <col min="13" max="13" width="11.625" bestFit="1" customWidth="1"/>
  </cols>
  <sheetData>
    <row r="2" spans="1:17" x14ac:dyDescent="0.2">
      <c r="A2" s="13" t="s">
        <v>186</v>
      </c>
      <c r="B2" s="13" t="s">
        <v>187</v>
      </c>
      <c r="C2" s="13" t="s">
        <v>188</v>
      </c>
      <c r="D2" s="13" t="s">
        <v>189</v>
      </c>
      <c r="E2" s="13" t="s">
        <v>190</v>
      </c>
      <c r="F2" s="13" t="s">
        <v>191</v>
      </c>
      <c r="G2" t="s">
        <v>192</v>
      </c>
      <c r="H2">
        <v>122</v>
      </c>
    </row>
    <row r="3" spans="1:17" x14ac:dyDescent="0.2">
      <c r="A3" s="13" t="s">
        <v>193</v>
      </c>
      <c r="B3" s="13" t="s">
        <v>303</v>
      </c>
      <c r="C3" s="13" t="s">
        <v>304</v>
      </c>
      <c r="E3" s="13" t="s">
        <v>305</v>
      </c>
      <c r="G3">
        <v>4</v>
      </c>
      <c r="H3">
        <f>G3*-1</f>
        <v>-4</v>
      </c>
    </row>
    <row r="4" spans="1:17" x14ac:dyDescent="0.2">
      <c r="A4" s="13" t="s">
        <v>194</v>
      </c>
      <c r="B4" s="13" t="s">
        <v>306</v>
      </c>
      <c r="C4" s="13" t="s">
        <v>307</v>
      </c>
      <c r="E4" s="13" t="s">
        <v>305</v>
      </c>
      <c r="G4">
        <v>8</v>
      </c>
      <c r="H4">
        <f t="shared" ref="H4:H67" si="0">G4*-1</f>
        <v>-8</v>
      </c>
      <c r="L4" s="14" t="s">
        <v>527</v>
      </c>
      <c r="M4" t="s">
        <v>529</v>
      </c>
      <c r="P4" t="s">
        <v>527</v>
      </c>
      <c r="Q4" t="s">
        <v>547</v>
      </c>
    </row>
    <row r="5" spans="1:17" x14ac:dyDescent="0.2">
      <c r="A5" s="13" t="s">
        <v>195</v>
      </c>
      <c r="B5" s="13" t="s">
        <v>308</v>
      </c>
      <c r="C5" s="13" t="s">
        <v>309</v>
      </c>
      <c r="E5" s="13" t="s">
        <v>305</v>
      </c>
      <c r="G5">
        <v>117</v>
      </c>
      <c r="H5">
        <f t="shared" si="0"/>
        <v>-117</v>
      </c>
      <c r="L5" s="15" t="s">
        <v>485</v>
      </c>
      <c r="M5">
        <v>-1347</v>
      </c>
      <c r="P5" t="s">
        <v>74</v>
      </c>
      <c r="Q5">
        <v>1913</v>
      </c>
    </row>
    <row r="6" spans="1:17" x14ac:dyDescent="0.2">
      <c r="A6" s="13" t="s">
        <v>196</v>
      </c>
      <c r="B6" s="13" t="s">
        <v>310</v>
      </c>
      <c r="C6" s="13" t="s">
        <v>311</v>
      </c>
      <c r="E6" s="13" t="s">
        <v>305</v>
      </c>
      <c r="G6">
        <v>2</v>
      </c>
      <c r="H6">
        <f t="shared" si="0"/>
        <v>-2</v>
      </c>
      <c r="L6" s="15" t="s">
        <v>78</v>
      </c>
      <c r="M6">
        <v>-410</v>
      </c>
      <c r="P6" t="s">
        <v>113</v>
      </c>
      <c r="Q6">
        <v>78</v>
      </c>
    </row>
    <row r="7" spans="1:17" x14ac:dyDescent="0.2">
      <c r="A7" s="13" t="s">
        <v>196</v>
      </c>
      <c r="B7" s="13" t="s">
        <v>310</v>
      </c>
      <c r="C7" s="13" t="s">
        <v>312</v>
      </c>
      <c r="E7" s="13" t="s">
        <v>305</v>
      </c>
      <c r="G7">
        <v>113</v>
      </c>
      <c r="H7">
        <f t="shared" si="0"/>
        <v>-113</v>
      </c>
      <c r="L7" s="15" t="s">
        <v>201</v>
      </c>
      <c r="M7">
        <v>-44</v>
      </c>
      <c r="P7" t="s">
        <v>107</v>
      </c>
      <c r="Q7">
        <v>231</v>
      </c>
    </row>
    <row r="8" spans="1:17" x14ac:dyDescent="0.2">
      <c r="A8" s="13" t="s">
        <v>197</v>
      </c>
      <c r="B8" s="13" t="s">
        <v>313</v>
      </c>
      <c r="C8" s="13" t="s">
        <v>314</v>
      </c>
      <c r="E8" s="13" t="s">
        <v>305</v>
      </c>
      <c r="G8">
        <v>190</v>
      </c>
      <c r="H8">
        <f t="shared" si="0"/>
        <v>-190</v>
      </c>
      <c r="L8" s="15" t="s">
        <v>202</v>
      </c>
      <c r="M8">
        <v>-1075</v>
      </c>
      <c r="P8" t="s">
        <v>110</v>
      </c>
      <c r="Q8">
        <v>41</v>
      </c>
    </row>
    <row r="9" spans="1:17" x14ac:dyDescent="0.2">
      <c r="A9" s="13" t="s">
        <v>198</v>
      </c>
      <c r="B9" s="13" t="s">
        <v>315</v>
      </c>
      <c r="C9" s="13" t="s">
        <v>316</v>
      </c>
      <c r="E9" s="13" t="s">
        <v>305</v>
      </c>
      <c r="G9">
        <v>2</v>
      </c>
      <c r="H9">
        <f t="shared" si="0"/>
        <v>-2</v>
      </c>
      <c r="L9" s="15" t="s">
        <v>203</v>
      </c>
      <c r="M9">
        <v>-8</v>
      </c>
      <c r="P9" t="s">
        <v>89</v>
      </c>
      <c r="Q9">
        <v>90</v>
      </c>
    </row>
    <row r="10" spans="1:17" x14ac:dyDescent="0.2">
      <c r="A10" s="13" t="s">
        <v>199</v>
      </c>
      <c r="B10" s="13" t="s">
        <v>317</v>
      </c>
      <c r="C10" s="13" t="s">
        <v>318</v>
      </c>
      <c r="E10" s="13" t="s">
        <v>305</v>
      </c>
      <c r="G10">
        <v>70</v>
      </c>
      <c r="H10">
        <f t="shared" si="0"/>
        <v>-70</v>
      </c>
      <c r="L10" s="15" t="s">
        <v>204</v>
      </c>
      <c r="M10">
        <v>-240</v>
      </c>
      <c r="P10" t="s">
        <v>91</v>
      </c>
      <c r="Q10">
        <v>43</v>
      </c>
    </row>
    <row r="11" spans="1:17" x14ac:dyDescent="0.2">
      <c r="A11" s="13" t="s">
        <v>200</v>
      </c>
      <c r="B11" s="13" t="s">
        <v>319</v>
      </c>
      <c r="C11" s="13" t="s">
        <v>320</v>
      </c>
      <c r="E11" s="13" t="s">
        <v>305</v>
      </c>
      <c r="G11">
        <v>200</v>
      </c>
      <c r="H11">
        <f t="shared" si="0"/>
        <v>-200</v>
      </c>
      <c r="L11" s="15" t="s">
        <v>205</v>
      </c>
      <c r="M11">
        <v>-2</v>
      </c>
      <c r="P11" t="s">
        <v>87</v>
      </c>
      <c r="Q11">
        <v>48</v>
      </c>
    </row>
    <row r="12" spans="1:17" x14ac:dyDescent="0.2">
      <c r="A12" s="13" t="s">
        <v>201</v>
      </c>
      <c r="B12" s="13" t="s">
        <v>321</v>
      </c>
      <c r="C12" s="13" t="s">
        <v>322</v>
      </c>
      <c r="E12" s="13" t="s">
        <v>305</v>
      </c>
      <c r="G12">
        <v>44</v>
      </c>
      <c r="H12">
        <f t="shared" si="0"/>
        <v>-44</v>
      </c>
      <c r="L12" s="15" t="s">
        <v>206</v>
      </c>
      <c r="M12">
        <v>-1</v>
      </c>
      <c r="P12" t="s">
        <v>92</v>
      </c>
      <c r="Q12">
        <v>324</v>
      </c>
    </row>
    <row r="13" spans="1:17" x14ac:dyDescent="0.2">
      <c r="A13" s="13" t="s">
        <v>202</v>
      </c>
      <c r="B13" s="13" t="s">
        <v>323</v>
      </c>
      <c r="C13" s="13" t="s">
        <v>322</v>
      </c>
      <c r="E13" s="13" t="s">
        <v>305</v>
      </c>
      <c r="G13">
        <v>1075</v>
      </c>
      <c r="H13">
        <f t="shared" si="0"/>
        <v>-1075</v>
      </c>
      <c r="L13" s="15" t="s">
        <v>207</v>
      </c>
      <c r="M13">
        <v>-1</v>
      </c>
      <c r="P13" t="s">
        <v>78</v>
      </c>
      <c r="Q13">
        <v>587</v>
      </c>
    </row>
    <row r="14" spans="1:17" x14ac:dyDescent="0.2">
      <c r="A14" s="13" t="s">
        <v>203</v>
      </c>
      <c r="B14" s="13" t="s">
        <v>324</v>
      </c>
      <c r="C14" s="13" t="s">
        <v>325</v>
      </c>
      <c r="E14" s="13" t="s">
        <v>305</v>
      </c>
      <c r="G14">
        <v>8</v>
      </c>
      <c r="H14">
        <f t="shared" si="0"/>
        <v>-8</v>
      </c>
      <c r="L14" s="15" t="s">
        <v>208</v>
      </c>
      <c r="M14">
        <v>-8</v>
      </c>
      <c r="P14" t="s">
        <v>85</v>
      </c>
      <c r="Q14">
        <v>235</v>
      </c>
    </row>
    <row r="15" spans="1:17" x14ac:dyDescent="0.2">
      <c r="A15" s="13" t="s">
        <v>204</v>
      </c>
      <c r="B15" s="13" t="s">
        <v>326</v>
      </c>
      <c r="C15" s="13" t="s">
        <v>322</v>
      </c>
      <c r="E15" s="13" t="s">
        <v>305</v>
      </c>
      <c r="G15">
        <v>240</v>
      </c>
      <c r="H15">
        <f t="shared" si="0"/>
        <v>-240</v>
      </c>
      <c r="L15" s="15" t="s">
        <v>209</v>
      </c>
      <c r="M15">
        <v>-8</v>
      </c>
      <c r="P15" t="s">
        <v>115</v>
      </c>
      <c r="Q15">
        <v>72</v>
      </c>
    </row>
    <row r="16" spans="1:17" x14ac:dyDescent="0.2">
      <c r="A16" s="13" t="s">
        <v>205</v>
      </c>
      <c r="B16" s="13" t="s">
        <v>327</v>
      </c>
      <c r="C16" s="13" t="s">
        <v>328</v>
      </c>
      <c r="E16" s="13" t="s">
        <v>305</v>
      </c>
      <c r="G16">
        <v>2</v>
      </c>
      <c r="H16">
        <f t="shared" si="0"/>
        <v>-2</v>
      </c>
      <c r="L16" s="15" t="s">
        <v>210</v>
      </c>
      <c r="M16">
        <v>-8</v>
      </c>
      <c r="P16" t="s">
        <v>117</v>
      </c>
      <c r="Q16">
        <v>5</v>
      </c>
    </row>
    <row r="17" spans="1:17" x14ac:dyDescent="0.2">
      <c r="A17" s="13" t="s">
        <v>206</v>
      </c>
      <c r="B17" s="13" t="s">
        <v>329</v>
      </c>
      <c r="C17" s="13" t="s">
        <v>322</v>
      </c>
      <c r="E17" s="13" t="s">
        <v>305</v>
      </c>
      <c r="G17">
        <v>1</v>
      </c>
      <c r="H17">
        <f t="shared" si="0"/>
        <v>-1</v>
      </c>
      <c r="L17" s="15" t="s">
        <v>211</v>
      </c>
      <c r="M17">
        <v>-8</v>
      </c>
      <c r="P17" t="s">
        <v>112</v>
      </c>
      <c r="Q17">
        <v>324</v>
      </c>
    </row>
    <row r="18" spans="1:17" x14ac:dyDescent="0.2">
      <c r="A18" s="13" t="s">
        <v>207</v>
      </c>
      <c r="B18" s="13" t="s">
        <v>330</v>
      </c>
      <c r="C18" s="13" t="s">
        <v>322</v>
      </c>
      <c r="E18" s="13" t="s">
        <v>305</v>
      </c>
      <c r="G18">
        <v>1</v>
      </c>
      <c r="H18">
        <f t="shared" si="0"/>
        <v>-1</v>
      </c>
      <c r="L18" s="15" t="s">
        <v>212</v>
      </c>
      <c r="M18">
        <v>-8</v>
      </c>
      <c r="P18" t="s">
        <v>75</v>
      </c>
      <c r="Q18">
        <v>1316</v>
      </c>
    </row>
    <row r="19" spans="1:17" x14ac:dyDescent="0.2">
      <c r="A19" s="13" t="s">
        <v>208</v>
      </c>
      <c r="B19" s="13" t="s">
        <v>331</v>
      </c>
      <c r="C19" s="13" t="s">
        <v>325</v>
      </c>
      <c r="E19" s="13" t="s">
        <v>305</v>
      </c>
      <c r="G19">
        <v>8</v>
      </c>
      <c r="H19">
        <f t="shared" si="0"/>
        <v>-8</v>
      </c>
      <c r="L19" s="15" t="s">
        <v>213</v>
      </c>
      <c r="M19">
        <v>-8</v>
      </c>
      <c r="P19" t="s">
        <v>111</v>
      </c>
      <c r="Q19">
        <v>29</v>
      </c>
    </row>
    <row r="20" spans="1:17" x14ac:dyDescent="0.2">
      <c r="A20" s="13" t="s">
        <v>209</v>
      </c>
      <c r="B20" s="13" t="s">
        <v>332</v>
      </c>
      <c r="C20" s="13" t="s">
        <v>325</v>
      </c>
      <c r="E20" s="13" t="s">
        <v>305</v>
      </c>
      <c r="G20">
        <v>8</v>
      </c>
      <c r="H20">
        <f t="shared" si="0"/>
        <v>-8</v>
      </c>
      <c r="L20" s="15" t="s">
        <v>214</v>
      </c>
      <c r="M20">
        <v>-8</v>
      </c>
      <c r="P20" t="s">
        <v>72</v>
      </c>
      <c r="Q20">
        <v>667</v>
      </c>
    </row>
    <row r="21" spans="1:17" x14ac:dyDescent="0.2">
      <c r="A21" s="13" t="s">
        <v>210</v>
      </c>
      <c r="B21" s="13" t="s">
        <v>333</v>
      </c>
      <c r="C21" s="13" t="s">
        <v>325</v>
      </c>
      <c r="E21" s="13" t="s">
        <v>305</v>
      </c>
      <c r="G21">
        <v>8</v>
      </c>
      <c r="H21">
        <f t="shared" si="0"/>
        <v>-8</v>
      </c>
      <c r="L21" s="15" t="s">
        <v>215</v>
      </c>
      <c r="M21">
        <v>-8</v>
      </c>
      <c r="P21" t="s">
        <v>103</v>
      </c>
      <c r="Q21">
        <v>540</v>
      </c>
    </row>
    <row r="22" spans="1:17" x14ac:dyDescent="0.2">
      <c r="A22" s="13" t="s">
        <v>211</v>
      </c>
      <c r="B22" s="13" t="s">
        <v>334</v>
      </c>
      <c r="C22" s="13" t="s">
        <v>325</v>
      </c>
      <c r="E22" s="13" t="s">
        <v>305</v>
      </c>
      <c r="G22">
        <v>8</v>
      </c>
      <c r="H22">
        <f t="shared" si="0"/>
        <v>-8</v>
      </c>
      <c r="L22" s="15" t="s">
        <v>216</v>
      </c>
      <c r="M22">
        <v>-8</v>
      </c>
      <c r="P22" t="s">
        <v>108</v>
      </c>
      <c r="Q22">
        <v>37</v>
      </c>
    </row>
    <row r="23" spans="1:17" x14ac:dyDescent="0.2">
      <c r="A23" s="13" t="s">
        <v>212</v>
      </c>
      <c r="B23" s="13" t="s">
        <v>335</v>
      </c>
      <c r="C23" s="13" t="s">
        <v>325</v>
      </c>
      <c r="E23" s="13" t="s">
        <v>305</v>
      </c>
      <c r="G23">
        <v>8</v>
      </c>
      <c r="H23">
        <f t="shared" si="0"/>
        <v>-8</v>
      </c>
      <c r="L23" s="15" t="s">
        <v>217</v>
      </c>
      <c r="M23">
        <v>-8</v>
      </c>
      <c r="P23" t="s">
        <v>114</v>
      </c>
      <c r="Q23">
        <v>18</v>
      </c>
    </row>
    <row r="24" spans="1:17" x14ac:dyDescent="0.2">
      <c r="A24" s="13" t="s">
        <v>213</v>
      </c>
      <c r="B24" s="13" t="s">
        <v>336</v>
      </c>
      <c r="C24" s="13" t="s">
        <v>325</v>
      </c>
      <c r="E24" s="13" t="s">
        <v>305</v>
      </c>
      <c r="G24">
        <v>8</v>
      </c>
      <c r="H24">
        <f t="shared" si="0"/>
        <v>-8</v>
      </c>
      <c r="L24" s="15" t="s">
        <v>218</v>
      </c>
      <c r="M24">
        <v>-8</v>
      </c>
      <c r="P24" t="s">
        <v>83</v>
      </c>
      <c r="Q24">
        <v>127</v>
      </c>
    </row>
    <row r="25" spans="1:17" x14ac:dyDescent="0.2">
      <c r="A25" s="13" t="s">
        <v>214</v>
      </c>
      <c r="B25" s="13" t="s">
        <v>337</v>
      </c>
      <c r="C25" s="13" t="s">
        <v>325</v>
      </c>
      <c r="E25" s="13" t="s">
        <v>305</v>
      </c>
      <c r="G25">
        <v>8</v>
      </c>
      <c r="H25">
        <f t="shared" si="0"/>
        <v>-8</v>
      </c>
      <c r="L25" s="15" t="s">
        <v>219</v>
      </c>
      <c r="M25">
        <v>-8</v>
      </c>
      <c r="P25" t="s">
        <v>79</v>
      </c>
      <c r="Q25">
        <v>399</v>
      </c>
    </row>
    <row r="26" spans="1:17" x14ac:dyDescent="0.2">
      <c r="A26" s="13" t="s">
        <v>215</v>
      </c>
      <c r="B26" s="13" t="s">
        <v>338</v>
      </c>
      <c r="C26" s="13" t="s">
        <v>325</v>
      </c>
      <c r="E26" s="13" t="s">
        <v>305</v>
      </c>
      <c r="G26">
        <v>8</v>
      </c>
      <c r="H26">
        <f t="shared" si="0"/>
        <v>-8</v>
      </c>
      <c r="L26" s="15" t="s">
        <v>200</v>
      </c>
      <c r="M26">
        <v>-200</v>
      </c>
      <c r="P26" t="s">
        <v>81</v>
      </c>
      <c r="Q26">
        <v>20</v>
      </c>
    </row>
    <row r="27" spans="1:17" x14ac:dyDescent="0.2">
      <c r="A27" s="13" t="s">
        <v>216</v>
      </c>
      <c r="B27" s="13" t="s">
        <v>339</v>
      </c>
      <c r="C27" s="13" t="s">
        <v>325</v>
      </c>
      <c r="E27" s="13" t="s">
        <v>305</v>
      </c>
      <c r="G27">
        <v>8</v>
      </c>
      <c r="H27">
        <f t="shared" si="0"/>
        <v>-8</v>
      </c>
      <c r="L27" s="15" t="s">
        <v>220</v>
      </c>
      <c r="M27">
        <v>-1</v>
      </c>
      <c r="P27" t="s">
        <v>59</v>
      </c>
      <c r="Q27">
        <v>616</v>
      </c>
    </row>
    <row r="28" spans="1:17" x14ac:dyDescent="0.2">
      <c r="A28" s="13" t="s">
        <v>217</v>
      </c>
      <c r="B28" s="13" t="s">
        <v>340</v>
      </c>
      <c r="C28" s="13" t="s">
        <v>325</v>
      </c>
      <c r="E28" s="13" t="s">
        <v>305</v>
      </c>
      <c r="G28">
        <v>8</v>
      </c>
      <c r="H28">
        <f t="shared" si="0"/>
        <v>-8</v>
      </c>
      <c r="L28" s="15" t="s">
        <v>221</v>
      </c>
      <c r="M28">
        <v>-3</v>
      </c>
      <c r="P28" t="s">
        <v>58</v>
      </c>
      <c r="Q28">
        <v>109</v>
      </c>
    </row>
    <row r="29" spans="1:17" x14ac:dyDescent="0.2">
      <c r="A29" s="13" t="s">
        <v>218</v>
      </c>
      <c r="B29" s="13" t="s">
        <v>341</v>
      </c>
      <c r="C29" s="13" t="s">
        <v>325</v>
      </c>
      <c r="E29" s="13" t="s">
        <v>305</v>
      </c>
      <c r="G29">
        <v>8</v>
      </c>
      <c r="H29">
        <f t="shared" si="0"/>
        <v>-8</v>
      </c>
      <c r="L29" s="15" t="s">
        <v>222</v>
      </c>
      <c r="M29">
        <v>-1</v>
      </c>
      <c r="P29" t="s">
        <v>52</v>
      </c>
      <c r="Q29">
        <v>348</v>
      </c>
    </row>
    <row r="30" spans="1:17" x14ac:dyDescent="0.2">
      <c r="A30" s="13" t="s">
        <v>219</v>
      </c>
      <c r="B30" s="13" t="s">
        <v>342</v>
      </c>
      <c r="C30" s="13" t="s">
        <v>325</v>
      </c>
      <c r="E30" s="13" t="s">
        <v>305</v>
      </c>
      <c r="G30">
        <v>8</v>
      </c>
      <c r="H30">
        <f t="shared" si="0"/>
        <v>-8</v>
      </c>
      <c r="L30" s="15" t="s">
        <v>223</v>
      </c>
      <c r="M30">
        <v>-5</v>
      </c>
      <c r="P30" t="s">
        <v>56</v>
      </c>
      <c r="Q30">
        <v>147</v>
      </c>
    </row>
    <row r="31" spans="1:17" x14ac:dyDescent="0.2">
      <c r="A31" s="13" t="s">
        <v>220</v>
      </c>
      <c r="B31" s="13" t="s">
        <v>343</v>
      </c>
      <c r="C31" s="13" t="s">
        <v>344</v>
      </c>
      <c r="E31" s="13" t="s">
        <v>305</v>
      </c>
      <c r="G31">
        <v>1</v>
      </c>
      <c r="H31">
        <f t="shared" si="0"/>
        <v>-1</v>
      </c>
      <c r="L31" s="15" t="s">
        <v>224</v>
      </c>
      <c r="M31">
        <v>-80</v>
      </c>
      <c r="P31" t="s">
        <v>57</v>
      </c>
      <c r="Q31">
        <v>274</v>
      </c>
    </row>
    <row r="32" spans="1:17" x14ac:dyDescent="0.2">
      <c r="A32" s="13" t="s">
        <v>221</v>
      </c>
      <c r="B32" s="13" t="s">
        <v>345</v>
      </c>
      <c r="C32" s="13" t="s">
        <v>344</v>
      </c>
      <c r="E32" s="13" t="s">
        <v>305</v>
      </c>
      <c r="G32">
        <v>3</v>
      </c>
      <c r="H32">
        <f t="shared" si="0"/>
        <v>-3</v>
      </c>
      <c r="L32" s="15" t="s">
        <v>225</v>
      </c>
      <c r="M32">
        <v>-27</v>
      </c>
      <c r="P32" t="s">
        <v>62</v>
      </c>
      <c r="Q32">
        <v>126</v>
      </c>
    </row>
    <row r="33" spans="1:17" x14ac:dyDescent="0.2">
      <c r="A33" s="13" t="s">
        <v>222</v>
      </c>
      <c r="B33" s="13" t="s">
        <v>346</v>
      </c>
      <c r="C33" s="13" t="s">
        <v>344</v>
      </c>
      <c r="E33" s="13" t="s">
        <v>305</v>
      </c>
      <c r="G33">
        <v>1</v>
      </c>
      <c r="H33">
        <f t="shared" si="0"/>
        <v>-1</v>
      </c>
      <c r="L33" s="15" t="s">
        <v>226</v>
      </c>
      <c r="M33">
        <v>-1018</v>
      </c>
      <c r="P33" t="s">
        <v>55</v>
      </c>
      <c r="Q33">
        <v>308</v>
      </c>
    </row>
    <row r="34" spans="1:17" x14ac:dyDescent="0.2">
      <c r="A34" s="13" t="s">
        <v>223</v>
      </c>
      <c r="B34" s="13" t="s">
        <v>347</v>
      </c>
      <c r="C34" s="13" t="s">
        <v>344</v>
      </c>
      <c r="E34" s="13" t="s">
        <v>305</v>
      </c>
      <c r="G34">
        <v>5</v>
      </c>
      <c r="H34">
        <f t="shared" si="0"/>
        <v>-5</v>
      </c>
      <c r="L34" s="15" t="s">
        <v>227</v>
      </c>
      <c r="M34">
        <v>-54</v>
      </c>
      <c r="P34" t="s">
        <v>54</v>
      </c>
      <c r="Q34">
        <v>323</v>
      </c>
    </row>
    <row r="35" spans="1:17" x14ac:dyDescent="0.2">
      <c r="A35" s="13" t="s">
        <v>224</v>
      </c>
      <c r="B35" s="13" t="s">
        <v>348</v>
      </c>
      <c r="C35" s="13" t="s">
        <v>322</v>
      </c>
      <c r="E35" s="13" t="s">
        <v>305</v>
      </c>
      <c r="G35">
        <v>79</v>
      </c>
      <c r="H35">
        <f t="shared" si="0"/>
        <v>-79</v>
      </c>
      <c r="L35" s="15" t="s">
        <v>228</v>
      </c>
      <c r="M35">
        <v>-107</v>
      </c>
      <c r="P35" t="s">
        <v>32</v>
      </c>
      <c r="Q35">
        <v>7</v>
      </c>
    </row>
    <row r="36" spans="1:17" x14ac:dyDescent="0.2">
      <c r="A36" s="13" t="s">
        <v>224</v>
      </c>
      <c r="B36" s="13" t="s">
        <v>348</v>
      </c>
      <c r="C36" s="13" t="s">
        <v>328</v>
      </c>
      <c r="E36" s="13" t="s">
        <v>305</v>
      </c>
      <c r="G36">
        <v>1</v>
      </c>
      <c r="H36">
        <f t="shared" si="0"/>
        <v>-1</v>
      </c>
      <c r="L36" s="15" t="s">
        <v>229</v>
      </c>
      <c r="M36">
        <v>-1</v>
      </c>
      <c r="P36" t="s">
        <v>35</v>
      </c>
      <c r="Q36">
        <v>21</v>
      </c>
    </row>
    <row r="37" spans="1:17" x14ac:dyDescent="0.2">
      <c r="A37" s="13" t="s">
        <v>225</v>
      </c>
      <c r="B37" s="13" t="s">
        <v>349</v>
      </c>
      <c r="C37" s="13" t="s">
        <v>350</v>
      </c>
      <c r="E37" s="13" t="s">
        <v>305</v>
      </c>
      <c r="G37">
        <v>27</v>
      </c>
      <c r="H37">
        <f t="shared" si="0"/>
        <v>-27</v>
      </c>
      <c r="L37" s="15" t="s">
        <v>230</v>
      </c>
      <c r="M37">
        <v>-102</v>
      </c>
      <c r="P37" t="s">
        <v>34</v>
      </c>
      <c r="Q37">
        <v>81</v>
      </c>
    </row>
    <row r="38" spans="1:17" x14ac:dyDescent="0.2">
      <c r="A38" s="13" t="s">
        <v>226</v>
      </c>
      <c r="B38" s="13" t="s">
        <v>351</v>
      </c>
      <c r="C38" s="13" t="s">
        <v>322</v>
      </c>
      <c r="E38" s="13" t="s">
        <v>305</v>
      </c>
      <c r="G38">
        <v>385</v>
      </c>
      <c r="H38">
        <f t="shared" si="0"/>
        <v>-385</v>
      </c>
      <c r="L38" s="15" t="s">
        <v>231</v>
      </c>
      <c r="M38">
        <v>-978</v>
      </c>
      <c r="P38" t="s">
        <v>36</v>
      </c>
      <c r="Q38">
        <v>77</v>
      </c>
    </row>
    <row r="39" spans="1:17" x14ac:dyDescent="0.2">
      <c r="A39" s="13" t="s">
        <v>226</v>
      </c>
      <c r="B39" s="13" t="s">
        <v>351</v>
      </c>
      <c r="C39" s="13" t="s">
        <v>328</v>
      </c>
      <c r="E39" s="13" t="s">
        <v>305</v>
      </c>
      <c r="G39">
        <v>574</v>
      </c>
      <c r="H39">
        <f t="shared" si="0"/>
        <v>-574</v>
      </c>
      <c r="L39" s="15" t="s">
        <v>232</v>
      </c>
      <c r="M39">
        <v>-68</v>
      </c>
      <c r="P39" t="s">
        <v>84</v>
      </c>
      <c r="Q39">
        <v>124</v>
      </c>
    </row>
    <row r="40" spans="1:17" x14ac:dyDescent="0.2">
      <c r="A40" s="13" t="s">
        <v>226</v>
      </c>
      <c r="B40" s="13" t="s">
        <v>351</v>
      </c>
      <c r="C40" s="13" t="s">
        <v>350</v>
      </c>
      <c r="E40" s="13" t="s">
        <v>305</v>
      </c>
      <c r="G40">
        <v>59</v>
      </c>
      <c r="H40">
        <f t="shared" si="0"/>
        <v>-59</v>
      </c>
      <c r="L40" s="15" t="s">
        <v>233</v>
      </c>
      <c r="M40">
        <v>-2</v>
      </c>
      <c r="P40" t="s">
        <v>28</v>
      </c>
      <c r="Q40">
        <v>3</v>
      </c>
    </row>
    <row r="41" spans="1:17" x14ac:dyDescent="0.2">
      <c r="A41" s="13" t="s">
        <v>227</v>
      </c>
      <c r="B41" s="13" t="s">
        <v>352</v>
      </c>
      <c r="C41" s="13" t="s">
        <v>322</v>
      </c>
      <c r="E41" s="13" t="s">
        <v>305</v>
      </c>
      <c r="G41">
        <v>54</v>
      </c>
      <c r="H41">
        <f t="shared" si="0"/>
        <v>-54</v>
      </c>
      <c r="L41" s="15" t="s">
        <v>234</v>
      </c>
      <c r="M41">
        <v>-7</v>
      </c>
      <c r="P41" t="s">
        <v>27</v>
      </c>
      <c r="Q41">
        <v>88</v>
      </c>
    </row>
    <row r="42" spans="1:17" x14ac:dyDescent="0.2">
      <c r="A42" s="13" t="s">
        <v>228</v>
      </c>
      <c r="B42" s="13" t="s">
        <v>353</v>
      </c>
      <c r="C42" s="13" t="s">
        <v>322</v>
      </c>
      <c r="E42" s="13" t="s">
        <v>305</v>
      </c>
      <c r="G42">
        <v>16</v>
      </c>
      <c r="H42">
        <f t="shared" si="0"/>
        <v>-16</v>
      </c>
      <c r="L42" s="15" t="s">
        <v>235</v>
      </c>
      <c r="M42">
        <v>-55</v>
      </c>
      <c r="P42" t="s">
        <v>31</v>
      </c>
      <c r="Q42">
        <v>43</v>
      </c>
    </row>
    <row r="43" spans="1:17" x14ac:dyDescent="0.2">
      <c r="A43" s="13" t="s">
        <v>228</v>
      </c>
      <c r="B43" s="13" t="s">
        <v>353</v>
      </c>
      <c r="C43" s="13" t="s">
        <v>328</v>
      </c>
      <c r="E43" s="13" t="s">
        <v>305</v>
      </c>
      <c r="G43">
        <v>91</v>
      </c>
      <c r="H43">
        <f t="shared" si="0"/>
        <v>-91</v>
      </c>
      <c r="L43" s="15" t="s">
        <v>236</v>
      </c>
      <c r="M43">
        <v>-12</v>
      </c>
      <c r="P43" t="s">
        <v>30</v>
      </c>
      <c r="Q43">
        <v>77</v>
      </c>
    </row>
    <row r="44" spans="1:17" x14ac:dyDescent="0.2">
      <c r="A44" s="13" t="s">
        <v>229</v>
      </c>
      <c r="B44" s="13" t="s">
        <v>354</v>
      </c>
      <c r="C44" s="13" t="s">
        <v>322</v>
      </c>
      <c r="E44" s="13" t="s">
        <v>305</v>
      </c>
      <c r="G44">
        <v>1</v>
      </c>
      <c r="H44">
        <f t="shared" si="0"/>
        <v>-1</v>
      </c>
      <c r="L44" s="15" t="s">
        <v>237</v>
      </c>
      <c r="M44">
        <v>-122</v>
      </c>
      <c r="P44" t="s">
        <v>109</v>
      </c>
      <c r="Q44">
        <v>118</v>
      </c>
    </row>
    <row r="45" spans="1:17" x14ac:dyDescent="0.2">
      <c r="A45" s="13" t="s">
        <v>230</v>
      </c>
      <c r="B45" s="13" t="s">
        <v>355</v>
      </c>
      <c r="C45" s="13" t="s">
        <v>356</v>
      </c>
      <c r="E45" s="13" t="s">
        <v>305</v>
      </c>
      <c r="G45">
        <v>102</v>
      </c>
      <c r="H45">
        <f t="shared" si="0"/>
        <v>-102</v>
      </c>
      <c r="L45" s="15" t="s">
        <v>238</v>
      </c>
      <c r="M45">
        <v>-141</v>
      </c>
      <c r="P45" t="s">
        <v>98</v>
      </c>
      <c r="Q45">
        <v>158</v>
      </c>
    </row>
    <row r="46" spans="1:17" x14ac:dyDescent="0.2">
      <c r="A46" s="13" t="s">
        <v>231</v>
      </c>
      <c r="B46" s="13" t="s">
        <v>357</v>
      </c>
      <c r="C46" s="13" t="s">
        <v>322</v>
      </c>
      <c r="E46" s="13" t="s">
        <v>305</v>
      </c>
      <c r="G46">
        <v>396</v>
      </c>
      <c r="H46">
        <f t="shared" si="0"/>
        <v>-396</v>
      </c>
      <c r="L46" s="15" t="s">
        <v>239</v>
      </c>
      <c r="M46">
        <v>-55</v>
      </c>
      <c r="P46" t="s">
        <v>25</v>
      </c>
      <c r="Q46">
        <v>144</v>
      </c>
    </row>
    <row r="47" spans="1:17" x14ac:dyDescent="0.2">
      <c r="A47" s="13" t="s">
        <v>231</v>
      </c>
      <c r="B47" s="13" t="s">
        <v>357</v>
      </c>
      <c r="C47" s="13" t="s">
        <v>328</v>
      </c>
      <c r="E47" s="13" t="s">
        <v>305</v>
      </c>
      <c r="G47">
        <v>92</v>
      </c>
      <c r="H47">
        <f t="shared" si="0"/>
        <v>-92</v>
      </c>
      <c r="L47" s="15" t="s">
        <v>240</v>
      </c>
      <c r="M47">
        <v>-3</v>
      </c>
      <c r="P47" t="s">
        <v>24</v>
      </c>
      <c r="Q47">
        <v>481</v>
      </c>
    </row>
    <row r="48" spans="1:17" x14ac:dyDescent="0.2">
      <c r="A48" s="13" t="s">
        <v>231</v>
      </c>
      <c r="B48" s="13" t="s">
        <v>357</v>
      </c>
      <c r="C48" s="13" t="s">
        <v>356</v>
      </c>
      <c r="E48" s="13" t="s">
        <v>305</v>
      </c>
      <c r="G48">
        <v>490</v>
      </c>
      <c r="H48">
        <f t="shared" si="0"/>
        <v>-490</v>
      </c>
      <c r="L48" s="15" t="s">
        <v>241</v>
      </c>
      <c r="M48">
        <v>-3</v>
      </c>
      <c r="P48" t="s">
        <v>22</v>
      </c>
      <c r="Q48">
        <v>131</v>
      </c>
    </row>
    <row r="49" spans="1:17" x14ac:dyDescent="0.2">
      <c r="A49" s="13" t="s">
        <v>232</v>
      </c>
      <c r="B49" s="13" t="s">
        <v>358</v>
      </c>
      <c r="C49" s="13" t="s">
        <v>322</v>
      </c>
      <c r="E49" s="13" t="s">
        <v>305</v>
      </c>
      <c r="G49">
        <v>61</v>
      </c>
      <c r="H49">
        <f t="shared" si="0"/>
        <v>-61</v>
      </c>
      <c r="L49" s="15" t="s">
        <v>242</v>
      </c>
      <c r="M49">
        <v>-6</v>
      </c>
      <c r="P49" t="s">
        <v>26</v>
      </c>
      <c r="Q49">
        <v>174</v>
      </c>
    </row>
    <row r="50" spans="1:17" x14ac:dyDescent="0.2">
      <c r="A50" s="13" t="s">
        <v>232</v>
      </c>
      <c r="B50" s="13" t="s">
        <v>358</v>
      </c>
      <c r="C50" s="13" t="s">
        <v>356</v>
      </c>
      <c r="E50" s="13" t="s">
        <v>305</v>
      </c>
      <c r="G50">
        <v>7</v>
      </c>
      <c r="H50">
        <f t="shared" si="0"/>
        <v>-7</v>
      </c>
      <c r="L50" s="15" t="s">
        <v>243</v>
      </c>
      <c r="M50">
        <v>-7</v>
      </c>
      <c r="P50" t="s">
        <v>86</v>
      </c>
      <c r="Q50">
        <v>9</v>
      </c>
    </row>
    <row r="51" spans="1:17" x14ac:dyDescent="0.2">
      <c r="A51" s="13" t="s">
        <v>233</v>
      </c>
      <c r="B51" s="13" t="s">
        <v>359</v>
      </c>
      <c r="C51" s="13" t="s">
        <v>322</v>
      </c>
      <c r="E51" s="13" t="s">
        <v>305</v>
      </c>
      <c r="G51">
        <v>2</v>
      </c>
      <c r="H51">
        <f t="shared" si="0"/>
        <v>-2</v>
      </c>
      <c r="L51" s="15" t="s">
        <v>244</v>
      </c>
      <c r="M51">
        <v>-2</v>
      </c>
      <c r="P51" t="s">
        <v>90</v>
      </c>
      <c r="Q51">
        <v>181</v>
      </c>
    </row>
    <row r="52" spans="1:17" x14ac:dyDescent="0.2">
      <c r="A52" s="13" t="s">
        <v>234</v>
      </c>
      <c r="B52" s="13" t="s">
        <v>360</v>
      </c>
      <c r="C52" s="13" t="s">
        <v>322</v>
      </c>
      <c r="E52" s="13" t="s">
        <v>305</v>
      </c>
      <c r="G52">
        <v>7</v>
      </c>
      <c r="H52">
        <f t="shared" si="0"/>
        <v>-7</v>
      </c>
      <c r="L52" s="15" t="s">
        <v>245</v>
      </c>
      <c r="M52">
        <v>-6</v>
      </c>
      <c r="P52" t="s">
        <v>538</v>
      </c>
      <c r="Q52">
        <v>436</v>
      </c>
    </row>
    <row r="53" spans="1:17" x14ac:dyDescent="0.2">
      <c r="A53" s="13" t="s">
        <v>235</v>
      </c>
      <c r="B53" s="13" t="s">
        <v>361</v>
      </c>
      <c r="C53" s="13" t="s">
        <v>328</v>
      </c>
      <c r="E53" s="13" t="s">
        <v>305</v>
      </c>
      <c r="G53">
        <v>40</v>
      </c>
      <c r="H53">
        <f t="shared" si="0"/>
        <v>-40</v>
      </c>
      <c r="L53" s="15" t="s">
        <v>246</v>
      </c>
      <c r="M53">
        <v>-3</v>
      </c>
      <c r="P53" t="s">
        <v>42</v>
      </c>
      <c r="Q53">
        <v>639</v>
      </c>
    </row>
    <row r="54" spans="1:17" x14ac:dyDescent="0.2">
      <c r="A54" s="13" t="s">
        <v>235</v>
      </c>
      <c r="B54" s="13" t="s">
        <v>361</v>
      </c>
      <c r="C54" s="13" t="s">
        <v>362</v>
      </c>
      <c r="E54" s="13" t="s">
        <v>305</v>
      </c>
      <c r="G54">
        <v>15</v>
      </c>
      <c r="H54">
        <f t="shared" si="0"/>
        <v>-15</v>
      </c>
      <c r="L54" s="15" t="s">
        <v>247</v>
      </c>
      <c r="M54">
        <v>-7</v>
      </c>
      <c r="P54" t="s">
        <v>50</v>
      </c>
      <c r="Q54">
        <v>74</v>
      </c>
    </row>
    <row r="55" spans="1:17" x14ac:dyDescent="0.2">
      <c r="A55" s="13" t="s">
        <v>236</v>
      </c>
      <c r="B55" s="13" t="s">
        <v>363</v>
      </c>
      <c r="C55" s="13" t="s">
        <v>364</v>
      </c>
      <c r="E55" s="13" t="s">
        <v>305</v>
      </c>
      <c r="G55">
        <v>12</v>
      </c>
      <c r="H55">
        <f t="shared" si="0"/>
        <v>-12</v>
      </c>
      <c r="L55" s="15" t="s">
        <v>248</v>
      </c>
      <c r="M55">
        <v>-8</v>
      </c>
      <c r="P55" t="s">
        <v>41</v>
      </c>
      <c r="Q55">
        <v>186</v>
      </c>
    </row>
    <row r="56" spans="1:17" x14ac:dyDescent="0.2">
      <c r="A56" s="13" t="s">
        <v>237</v>
      </c>
      <c r="B56" s="13" t="s">
        <v>365</v>
      </c>
      <c r="C56" s="13" t="s">
        <v>322</v>
      </c>
      <c r="E56" s="13" t="s">
        <v>305</v>
      </c>
      <c r="G56">
        <v>111</v>
      </c>
      <c r="H56">
        <f t="shared" si="0"/>
        <v>-111</v>
      </c>
      <c r="L56" s="15" t="s">
        <v>249</v>
      </c>
      <c r="M56">
        <v>-3</v>
      </c>
      <c r="P56" t="s">
        <v>47</v>
      </c>
      <c r="Q56">
        <v>344</v>
      </c>
    </row>
    <row r="57" spans="1:17" x14ac:dyDescent="0.2">
      <c r="A57" s="13" t="s">
        <v>237</v>
      </c>
      <c r="B57" s="13" t="s">
        <v>365</v>
      </c>
      <c r="C57" s="13" t="s">
        <v>364</v>
      </c>
      <c r="E57" s="13" t="s">
        <v>305</v>
      </c>
      <c r="G57">
        <v>11</v>
      </c>
      <c r="H57">
        <f t="shared" si="0"/>
        <v>-11</v>
      </c>
      <c r="L57" s="15" t="s">
        <v>250</v>
      </c>
      <c r="M57">
        <v>-3</v>
      </c>
      <c r="P57" t="s">
        <v>46</v>
      </c>
      <c r="Q57">
        <v>525</v>
      </c>
    </row>
    <row r="58" spans="1:17" x14ac:dyDescent="0.2">
      <c r="A58" s="13" t="s">
        <v>238</v>
      </c>
      <c r="B58" s="13" t="s">
        <v>366</v>
      </c>
      <c r="C58" s="13" t="s">
        <v>322</v>
      </c>
      <c r="E58" s="13" t="s">
        <v>305</v>
      </c>
      <c r="G58">
        <v>138</v>
      </c>
      <c r="H58">
        <f t="shared" si="0"/>
        <v>-138</v>
      </c>
      <c r="L58" s="15" t="s">
        <v>251</v>
      </c>
      <c r="M58">
        <v>-18</v>
      </c>
      <c r="P58" t="s">
        <v>48</v>
      </c>
      <c r="Q58">
        <v>218</v>
      </c>
    </row>
    <row r="59" spans="1:17" x14ac:dyDescent="0.2">
      <c r="A59" s="13" t="s">
        <v>238</v>
      </c>
      <c r="B59" s="13" t="s">
        <v>366</v>
      </c>
      <c r="C59" s="13" t="s">
        <v>328</v>
      </c>
      <c r="E59" s="13" t="s">
        <v>305</v>
      </c>
      <c r="G59">
        <v>3</v>
      </c>
      <c r="H59">
        <f t="shared" si="0"/>
        <v>-3</v>
      </c>
      <c r="L59" s="15" t="s">
        <v>252</v>
      </c>
      <c r="M59">
        <v>-12</v>
      </c>
      <c r="P59" t="s">
        <v>38</v>
      </c>
      <c r="Q59">
        <v>98</v>
      </c>
    </row>
    <row r="60" spans="1:17" x14ac:dyDescent="0.2">
      <c r="A60" s="13" t="s">
        <v>239</v>
      </c>
      <c r="B60" s="13" t="s">
        <v>367</v>
      </c>
      <c r="C60" s="13" t="s">
        <v>322</v>
      </c>
      <c r="E60" s="13" t="s">
        <v>305</v>
      </c>
      <c r="G60">
        <v>55</v>
      </c>
      <c r="H60">
        <f t="shared" si="0"/>
        <v>-55</v>
      </c>
      <c r="L60" s="15" t="s">
        <v>253</v>
      </c>
      <c r="M60">
        <v>-2</v>
      </c>
      <c r="P60" t="s">
        <v>37</v>
      </c>
      <c r="Q60">
        <v>23</v>
      </c>
    </row>
    <row r="61" spans="1:17" x14ac:dyDescent="0.2">
      <c r="A61" s="13" t="s">
        <v>240</v>
      </c>
      <c r="B61" s="13" t="s">
        <v>368</v>
      </c>
      <c r="C61" s="13" t="s">
        <v>369</v>
      </c>
      <c r="E61" s="13" t="s">
        <v>305</v>
      </c>
      <c r="G61">
        <v>3</v>
      </c>
      <c r="H61">
        <f t="shared" si="0"/>
        <v>-3</v>
      </c>
      <c r="L61" s="15" t="s">
        <v>254</v>
      </c>
      <c r="M61">
        <v>-17</v>
      </c>
      <c r="P61" t="s">
        <v>51</v>
      </c>
      <c r="Q61">
        <v>57</v>
      </c>
    </row>
    <row r="62" spans="1:17" x14ac:dyDescent="0.2">
      <c r="A62" s="13" t="s">
        <v>241</v>
      </c>
      <c r="B62" s="13" t="s">
        <v>370</v>
      </c>
      <c r="C62" s="13" t="s">
        <v>322</v>
      </c>
      <c r="E62" s="13" t="s">
        <v>305</v>
      </c>
      <c r="G62">
        <v>3</v>
      </c>
      <c r="H62">
        <f t="shared" si="0"/>
        <v>-3</v>
      </c>
      <c r="L62" s="15" t="s">
        <v>255</v>
      </c>
      <c r="M62">
        <v>-95</v>
      </c>
      <c r="P62" t="s">
        <v>49</v>
      </c>
      <c r="Q62">
        <v>191</v>
      </c>
    </row>
    <row r="63" spans="1:17" x14ac:dyDescent="0.2">
      <c r="A63" s="13" t="s">
        <v>242</v>
      </c>
      <c r="B63" s="13" t="s">
        <v>371</v>
      </c>
      <c r="C63" s="13" t="s">
        <v>322</v>
      </c>
      <c r="E63" s="13" t="s">
        <v>305</v>
      </c>
      <c r="G63">
        <v>6</v>
      </c>
      <c r="H63">
        <f t="shared" si="0"/>
        <v>-6</v>
      </c>
      <c r="L63" s="15" t="s">
        <v>256</v>
      </c>
      <c r="M63">
        <v>-241</v>
      </c>
      <c r="P63" t="s">
        <v>82</v>
      </c>
      <c r="Q63">
        <v>30</v>
      </c>
    </row>
    <row r="64" spans="1:17" x14ac:dyDescent="0.2">
      <c r="A64" s="13" t="s">
        <v>243</v>
      </c>
      <c r="B64" s="13" t="s">
        <v>372</v>
      </c>
      <c r="C64" s="13" t="s">
        <v>322</v>
      </c>
      <c r="E64" s="13" t="s">
        <v>305</v>
      </c>
      <c r="G64">
        <v>7</v>
      </c>
      <c r="H64">
        <f t="shared" si="0"/>
        <v>-7</v>
      </c>
      <c r="L64" s="15" t="s">
        <v>257</v>
      </c>
      <c r="M64">
        <v>-35</v>
      </c>
      <c r="P64" t="s">
        <v>17</v>
      </c>
      <c r="Q64">
        <v>841</v>
      </c>
    </row>
    <row r="65" spans="1:17" x14ac:dyDescent="0.2">
      <c r="A65" s="13" t="s">
        <v>244</v>
      </c>
      <c r="B65" s="13" t="s">
        <v>373</v>
      </c>
      <c r="C65" s="13" t="s">
        <v>322</v>
      </c>
      <c r="E65" s="13" t="s">
        <v>305</v>
      </c>
      <c r="G65">
        <v>2</v>
      </c>
      <c r="H65">
        <f t="shared" si="0"/>
        <v>-2</v>
      </c>
      <c r="L65" s="15" t="s">
        <v>258</v>
      </c>
      <c r="M65">
        <v>-1</v>
      </c>
      <c r="P65" t="s">
        <v>10</v>
      </c>
      <c r="Q65">
        <v>13</v>
      </c>
    </row>
    <row r="66" spans="1:17" x14ac:dyDescent="0.2">
      <c r="A66" s="13" t="s">
        <v>245</v>
      </c>
      <c r="B66" s="13" t="s">
        <v>374</v>
      </c>
      <c r="C66" s="13" t="s">
        <v>322</v>
      </c>
      <c r="E66" s="13" t="s">
        <v>305</v>
      </c>
      <c r="G66">
        <v>6</v>
      </c>
      <c r="H66">
        <f t="shared" si="0"/>
        <v>-6</v>
      </c>
      <c r="L66" s="15" t="s">
        <v>259</v>
      </c>
      <c r="M66">
        <v>-283</v>
      </c>
      <c r="P66" t="s">
        <v>13</v>
      </c>
      <c r="Q66">
        <v>63</v>
      </c>
    </row>
    <row r="67" spans="1:17" x14ac:dyDescent="0.2">
      <c r="A67" s="13" t="s">
        <v>246</v>
      </c>
      <c r="B67" s="13" t="s">
        <v>375</v>
      </c>
      <c r="C67" s="13" t="s">
        <v>322</v>
      </c>
      <c r="E67" s="13" t="s">
        <v>305</v>
      </c>
      <c r="G67">
        <v>3</v>
      </c>
      <c r="H67">
        <f t="shared" si="0"/>
        <v>-3</v>
      </c>
      <c r="L67" s="15" t="s">
        <v>260</v>
      </c>
      <c r="M67">
        <v>-98</v>
      </c>
      <c r="P67" t="s">
        <v>5</v>
      </c>
      <c r="Q67">
        <v>81</v>
      </c>
    </row>
    <row r="68" spans="1:17" x14ac:dyDescent="0.2">
      <c r="A68" s="13" t="s">
        <v>247</v>
      </c>
      <c r="B68" s="13" t="s">
        <v>376</v>
      </c>
      <c r="C68" s="13" t="s">
        <v>322</v>
      </c>
      <c r="E68" s="13" t="s">
        <v>305</v>
      </c>
      <c r="G68">
        <v>7</v>
      </c>
      <c r="H68">
        <f t="shared" ref="H68:H131" si="1">G68*-1</f>
        <v>-7</v>
      </c>
      <c r="L68" s="15" t="s">
        <v>261</v>
      </c>
      <c r="M68">
        <v>-290</v>
      </c>
      <c r="P68" t="s">
        <v>9</v>
      </c>
      <c r="Q68">
        <v>252</v>
      </c>
    </row>
    <row r="69" spans="1:17" x14ac:dyDescent="0.2">
      <c r="A69" s="13" t="s">
        <v>248</v>
      </c>
      <c r="B69" s="13" t="s">
        <v>377</v>
      </c>
      <c r="C69" s="13" t="s">
        <v>322</v>
      </c>
      <c r="E69" s="13" t="s">
        <v>305</v>
      </c>
      <c r="G69">
        <v>8</v>
      </c>
      <c r="H69">
        <f t="shared" si="1"/>
        <v>-8</v>
      </c>
      <c r="L69" s="15" t="s">
        <v>56</v>
      </c>
      <c r="M69">
        <v>-92</v>
      </c>
      <c r="P69" t="s">
        <v>15</v>
      </c>
      <c r="Q69">
        <v>519</v>
      </c>
    </row>
    <row r="70" spans="1:17" x14ac:dyDescent="0.2">
      <c r="A70" s="13" t="s">
        <v>249</v>
      </c>
      <c r="B70" s="13" t="s">
        <v>378</v>
      </c>
      <c r="C70" s="13" t="s">
        <v>322</v>
      </c>
      <c r="E70" s="13" t="s">
        <v>305</v>
      </c>
      <c r="G70">
        <v>3</v>
      </c>
      <c r="H70">
        <f t="shared" si="1"/>
        <v>-3</v>
      </c>
      <c r="L70" s="15" t="s">
        <v>262</v>
      </c>
      <c r="M70">
        <v>-454</v>
      </c>
      <c r="P70" t="s">
        <v>16</v>
      </c>
      <c r="Q70">
        <v>561</v>
      </c>
    </row>
    <row r="71" spans="1:17" x14ac:dyDescent="0.2">
      <c r="A71" s="13" t="s">
        <v>250</v>
      </c>
      <c r="B71" s="13" t="s">
        <v>379</v>
      </c>
      <c r="C71" s="13" t="s">
        <v>380</v>
      </c>
      <c r="E71" s="13" t="s">
        <v>305</v>
      </c>
      <c r="G71">
        <v>3</v>
      </c>
      <c r="H71">
        <f t="shared" si="1"/>
        <v>-3</v>
      </c>
      <c r="L71" s="15" t="s">
        <v>263</v>
      </c>
      <c r="M71">
        <v>-314</v>
      </c>
      <c r="P71" t="s">
        <v>20</v>
      </c>
      <c r="Q71">
        <v>72</v>
      </c>
    </row>
    <row r="72" spans="1:17" x14ac:dyDescent="0.2">
      <c r="A72" s="13" t="s">
        <v>251</v>
      </c>
      <c r="B72" s="13" t="s">
        <v>381</v>
      </c>
      <c r="C72" s="13" t="s">
        <v>322</v>
      </c>
      <c r="E72" s="13" t="s">
        <v>305</v>
      </c>
      <c r="G72">
        <v>18</v>
      </c>
      <c r="H72">
        <f t="shared" si="1"/>
        <v>-18</v>
      </c>
      <c r="L72" s="15" t="s">
        <v>264</v>
      </c>
      <c r="M72">
        <v>-323</v>
      </c>
      <c r="P72" t="s">
        <v>21</v>
      </c>
      <c r="Q72">
        <v>103</v>
      </c>
    </row>
    <row r="73" spans="1:17" x14ac:dyDescent="0.2">
      <c r="A73" s="13" t="s">
        <v>252</v>
      </c>
      <c r="B73" s="13" t="s">
        <v>382</v>
      </c>
      <c r="C73" s="13" t="s">
        <v>322</v>
      </c>
      <c r="E73" s="13" t="s">
        <v>305</v>
      </c>
      <c r="G73">
        <v>12</v>
      </c>
      <c r="H73">
        <f t="shared" si="1"/>
        <v>-12</v>
      </c>
      <c r="L73" s="15" t="s">
        <v>265</v>
      </c>
      <c r="M73">
        <v>-191</v>
      </c>
      <c r="P73" t="s">
        <v>12</v>
      </c>
      <c r="Q73">
        <v>44</v>
      </c>
    </row>
    <row r="74" spans="1:17" x14ac:dyDescent="0.2">
      <c r="A74" s="13" t="s">
        <v>253</v>
      </c>
      <c r="B74" s="13" t="s">
        <v>383</v>
      </c>
      <c r="C74" s="13" t="s">
        <v>384</v>
      </c>
      <c r="E74" s="13" t="s">
        <v>305</v>
      </c>
      <c r="G74">
        <v>2</v>
      </c>
      <c r="H74">
        <f t="shared" si="1"/>
        <v>-2</v>
      </c>
      <c r="L74" s="15" t="s">
        <v>266</v>
      </c>
      <c r="M74">
        <v>-169</v>
      </c>
      <c r="P74" t="s">
        <v>8</v>
      </c>
      <c r="Q74">
        <v>417</v>
      </c>
    </row>
    <row r="75" spans="1:17" x14ac:dyDescent="0.2">
      <c r="A75" s="13" t="s">
        <v>254</v>
      </c>
      <c r="B75" s="13" t="s">
        <v>385</v>
      </c>
      <c r="C75" s="13" t="s">
        <v>386</v>
      </c>
      <c r="E75" s="13" t="s">
        <v>305</v>
      </c>
      <c r="G75">
        <v>17</v>
      </c>
      <c r="H75">
        <f t="shared" si="1"/>
        <v>-17</v>
      </c>
      <c r="L75" s="15" t="s">
        <v>299</v>
      </c>
      <c r="M75">
        <v>-20</v>
      </c>
      <c r="P75" t="s">
        <v>14</v>
      </c>
      <c r="Q75">
        <v>140</v>
      </c>
    </row>
    <row r="76" spans="1:17" x14ac:dyDescent="0.2">
      <c r="A76" s="13" t="s">
        <v>255</v>
      </c>
      <c r="B76" s="13" t="s">
        <v>387</v>
      </c>
      <c r="C76" s="13" t="s">
        <v>386</v>
      </c>
      <c r="E76" s="13" t="s">
        <v>305</v>
      </c>
      <c r="G76">
        <v>4</v>
      </c>
      <c r="H76">
        <f t="shared" si="1"/>
        <v>-4</v>
      </c>
      <c r="L76" s="15" t="s">
        <v>267</v>
      </c>
      <c r="M76">
        <v>-3</v>
      </c>
      <c r="P76" t="s">
        <v>88</v>
      </c>
      <c r="Q76">
        <v>28</v>
      </c>
    </row>
    <row r="77" spans="1:17" x14ac:dyDescent="0.2">
      <c r="A77" s="13" t="s">
        <v>255</v>
      </c>
      <c r="B77" s="13" t="s">
        <v>387</v>
      </c>
      <c r="C77" s="13" t="s">
        <v>388</v>
      </c>
      <c r="E77" s="13" t="s">
        <v>305</v>
      </c>
      <c r="G77">
        <v>43</v>
      </c>
      <c r="H77">
        <f t="shared" si="1"/>
        <v>-43</v>
      </c>
      <c r="L77" s="15" t="s">
        <v>268</v>
      </c>
      <c r="M77">
        <v>-3</v>
      </c>
      <c r="P77" t="s">
        <v>39</v>
      </c>
      <c r="Q77">
        <v>44</v>
      </c>
    </row>
    <row r="78" spans="1:17" x14ac:dyDescent="0.2">
      <c r="A78" s="13" t="s">
        <v>255</v>
      </c>
      <c r="B78" s="13" t="s">
        <v>387</v>
      </c>
      <c r="C78" s="13" t="s">
        <v>389</v>
      </c>
      <c r="E78" s="13" t="s">
        <v>305</v>
      </c>
      <c r="G78">
        <v>48</v>
      </c>
      <c r="H78">
        <f t="shared" si="1"/>
        <v>-48</v>
      </c>
      <c r="L78" s="15" t="s">
        <v>269</v>
      </c>
      <c r="M78">
        <v>-12</v>
      </c>
      <c r="P78" t="s">
        <v>40</v>
      </c>
      <c r="Q78">
        <v>18</v>
      </c>
    </row>
    <row r="79" spans="1:17" x14ac:dyDescent="0.2">
      <c r="A79" s="13" t="s">
        <v>256</v>
      </c>
      <c r="B79" s="13" t="s">
        <v>390</v>
      </c>
      <c r="C79" s="13" t="s">
        <v>391</v>
      </c>
      <c r="E79" s="13" t="s">
        <v>305</v>
      </c>
      <c r="G79">
        <v>241</v>
      </c>
      <c r="H79">
        <f t="shared" si="1"/>
        <v>-241</v>
      </c>
      <c r="L79" s="15" t="s">
        <v>270</v>
      </c>
      <c r="M79">
        <v>-1</v>
      </c>
      <c r="P79" t="s">
        <v>541</v>
      </c>
      <c r="Q79">
        <v>88</v>
      </c>
    </row>
    <row r="80" spans="1:17" x14ac:dyDescent="0.2">
      <c r="A80" s="13" t="s">
        <v>257</v>
      </c>
      <c r="B80" s="13" t="s">
        <v>392</v>
      </c>
      <c r="C80" s="13" t="s">
        <v>389</v>
      </c>
      <c r="E80" s="13" t="s">
        <v>305</v>
      </c>
      <c r="G80">
        <v>35</v>
      </c>
      <c r="H80">
        <f t="shared" si="1"/>
        <v>-35</v>
      </c>
      <c r="L80" s="15" t="s">
        <v>271</v>
      </c>
      <c r="M80">
        <v>-1</v>
      </c>
      <c r="P80" t="s">
        <v>64</v>
      </c>
      <c r="Q80">
        <v>497</v>
      </c>
    </row>
    <row r="81" spans="1:17" x14ac:dyDescent="0.2">
      <c r="A81" s="13" t="s">
        <v>258</v>
      </c>
      <c r="B81" s="13" t="s">
        <v>393</v>
      </c>
      <c r="C81" s="13" t="s">
        <v>394</v>
      </c>
      <c r="E81" s="13" t="s">
        <v>305</v>
      </c>
      <c r="G81">
        <v>1</v>
      </c>
      <c r="H81">
        <f t="shared" si="1"/>
        <v>-1</v>
      </c>
      <c r="L81" s="15" t="s">
        <v>272</v>
      </c>
      <c r="M81">
        <v>-6</v>
      </c>
      <c r="P81" t="s">
        <v>69</v>
      </c>
      <c r="Q81">
        <v>23</v>
      </c>
    </row>
    <row r="82" spans="1:17" x14ac:dyDescent="0.2">
      <c r="A82" s="13" t="s">
        <v>259</v>
      </c>
      <c r="B82" s="13" t="s">
        <v>395</v>
      </c>
      <c r="C82" s="13" t="s">
        <v>396</v>
      </c>
      <c r="E82" s="13" t="s">
        <v>305</v>
      </c>
      <c r="G82">
        <v>283</v>
      </c>
      <c r="H82">
        <f t="shared" si="1"/>
        <v>-283</v>
      </c>
      <c r="L82" s="15" t="s">
        <v>273</v>
      </c>
      <c r="M82">
        <v>-236</v>
      </c>
      <c r="P82" t="s">
        <v>67</v>
      </c>
      <c r="Q82">
        <v>197</v>
      </c>
    </row>
    <row r="83" spans="1:17" x14ac:dyDescent="0.2">
      <c r="A83" s="13" t="s">
        <v>260</v>
      </c>
      <c r="B83" s="13" t="s">
        <v>397</v>
      </c>
      <c r="C83" s="13" t="s">
        <v>398</v>
      </c>
      <c r="E83" s="13" t="s">
        <v>305</v>
      </c>
      <c r="G83">
        <v>98</v>
      </c>
      <c r="H83">
        <f t="shared" si="1"/>
        <v>-98</v>
      </c>
      <c r="L83" s="15" t="s">
        <v>274</v>
      </c>
      <c r="M83">
        <v>-36</v>
      </c>
      <c r="P83" t="s">
        <v>71</v>
      </c>
      <c r="Q83">
        <v>412</v>
      </c>
    </row>
    <row r="84" spans="1:17" x14ac:dyDescent="0.2">
      <c r="A84" s="13" t="s">
        <v>261</v>
      </c>
      <c r="B84" s="13" t="s">
        <v>399</v>
      </c>
      <c r="C84" s="13" t="s">
        <v>400</v>
      </c>
      <c r="E84" s="13" t="s">
        <v>305</v>
      </c>
      <c r="G84">
        <v>187</v>
      </c>
      <c r="H84">
        <f t="shared" si="1"/>
        <v>-187</v>
      </c>
      <c r="L84" s="15" t="s">
        <v>275</v>
      </c>
      <c r="M84">
        <v>-27</v>
      </c>
      <c r="P84" t="s">
        <v>544</v>
      </c>
      <c r="Q84">
        <v>77</v>
      </c>
    </row>
    <row r="85" spans="1:17" x14ac:dyDescent="0.2">
      <c r="A85" s="13" t="s">
        <v>261</v>
      </c>
      <c r="B85" s="13" t="s">
        <v>399</v>
      </c>
      <c r="C85" s="13" t="s">
        <v>401</v>
      </c>
      <c r="E85" s="13" t="s">
        <v>305</v>
      </c>
      <c r="G85">
        <v>103</v>
      </c>
      <c r="H85">
        <f t="shared" si="1"/>
        <v>-103</v>
      </c>
      <c r="L85" s="15" t="s">
        <v>300</v>
      </c>
      <c r="M85">
        <v>-20</v>
      </c>
      <c r="P85" t="s">
        <v>68</v>
      </c>
      <c r="Q85">
        <v>18</v>
      </c>
    </row>
    <row r="86" spans="1:17" x14ac:dyDescent="0.2">
      <c r="A86" s="13" t="s">
        <v>56</v>
      </c>
      <c r="B86" s="13" t="s">
        <v>402</v>
      </c>
      <c r="C86" s="13" t="s">
        <v>398</v>
      </c>
      <c r="E86" s="13" t="s">
        <v>305</v>
      </c>
      <c r="G86">
        <v>92</v>
      </c>
      <c r="H86">
        <f t="shared" si="1"/>
        <v>-92</v>
      </c>
      <c r="L86" s="15" t="s">
        <v>276</v>
      </c>
      <c r="M86">
        <v>-95</v>
      </c>
      <c r="P86" t="s">
        <v>66</v>
      </c>
      <c r="Q86">
        <v>39</v>
      </c>
    </row>
    <row r="87" spans="1:17" x14ac:dyDescent="0.2">
      <c r="A87" s="13" t="s">
        <v>262</v>
      </c>
      <c r="B87" s="13" t="s">
        <v>403</v>
      </c>
      <c r="C87" s="13" t="s">
        <v>401</v>
      </c>
      <c r="E87" s="13" t="s">
        <v>305</v>
      </c>
      <c r="G87">
        <v>107</v>
      </c>
      <c r="H87">
        <f t="shared" si="1"/>
        <v>-107</v>
      </c>
      <c r="L87" s="15" t="s">
        <v>109</v>
      </c>
      <c r="M87">
        <v>-5</v>
      </c>
      <c r="P87" t="s">
        <v>70</v>
      </c>
      <c r="Q87">
        <v>370</v>
      </c>
    </row>
    <row r="88" spans="1:17" x14ac:dyDescent="0.2">
      <c r="A88" s="13" t="s">
        <v>262</v>
      </c>
      <c r="B88" s="13" t="s">
        <v>403</v>
      </c>
      <c r="C88" s="13" t="s">
        <v>404</v>
      </c>
      <c r="E88" s="13" t="s">
        <v>305</v>
      </c>
      <c r="G88">
        <v>347</v>
      </c>
      <c r="H88">
        <f t="shared" si="1"/>
        <v>-347</v>
      </c>
      <c r="L88" s="15" t="s">
        <v>193</v>
      </c>
      <c r="M88">
        <v>-4</v>
      </c>
      <c r="P88" t="s">
        <v>168</v>
      </c>
      <c r="Q88">
        <v>502.97</v>
      </c>
    </row>
    <row r="89" spans="1:17" x14ac:dyDescent="0.2">
      <c r="A89" s="13" t="s">
        <v>263</v>
      </c>
      <c r="B89" s="13" t="s">
        <v>405</v>
      </c>
      <c r="C89" s="13" t="s">
        <v>401</v>
      </c>
      <c r="E89" s="13" t="s">
        <v>305</v>
      </c>
      <c r="G89">
        <v>45</v>
      </c>
      <c r="H89">
        <f t="shared" si="1"/>
        <v>-45</v>
      </c>
      <c r="L89" s="15" t="s">
        <v>277</v>
      </c>
      <c r="M89">
        <v>-29</v>
      </c>
      <c r="P89" t="s">
        <v>172</v>
      </c>
      <c r="Q89">
        <v>320.26</v>
      </c>
    </row>
    <row r="90" spans="1:17" x14ac:dyDescent="0.2">
      <c r="A90" s="13" t="s">
        <v>263</v>
      </c>
      <c r="B90" s="13" t="s">
        <v>405</v>
      </c>
      <c r="C90" s="13" t="s">
        <v>406</v>
      </c>
      <c r="E90" s="13" t="s">
        <v>305</v>
      </c>
      <c r="G90">
        <v>269</v>
      </c>
      <c r="H90">
        <f t="shared" si="1"/>
        <v>-269</v>
      </c>
      <c r="L90" s="15" t="s">
        <v>22</v>
      </c>
      <c r="M90">
        <v>-332</v>
      </c>
      <c r="P90" t="s">
        <v>166</v>
      </c>
      <c r="Q90">
        <v>401.11</v>
      </c>
    </row>
    <row r="91" spans="1:17" x14ac:dyDescent="0.2">
      <c r="A91" s="13" t="s">
        <v>264</v>
      </c>
      <c r="B91" s="13" t="s">
        <v>407</v>
      </c>
      <c r="C91" s="13" t="s">
        <v>311</v>
      </c>
      <c r="E91" s="13" t="s">
        <v>305</v>
      </c>
      <c r="G91">
        <v>76</v>
      </c>
      <c r="H91">
        <f t="shared" si="1"/>
        <v>-76</v>
      </c>
      <c r="L91" s="15" t="s">
        <v>278</v>
      </c>
      <c r="M91">
        <v>-290</v>
      </c>
      <c r="P91" t="s">
        <v>170</v>
      </c>
      <c r="Q91">
        <v>595.94000000000005</v>
      </c>
    </row>
    <row r="92" spans="1:17" x14ac:dyDescent="0.2">
      <c r="A92" s="13" t="s">
        <v>264</v>
      </c>
      <c r="B92" s="13" t="s">
        <v>407</v>
      </c>
      <c r="C92" s="13" t="s">
        <v>408</v>
      </c>
      <c r="E92" s="13" t="s">
        <v>305</v>
      </c>
      <c r="G92">
        <v>247</v>
      </c>
      <c r="H92">
        <f t="shared" si="1"/>
        <v>-247</v>
      </c>
      <c r="L92" s="15" t="s">
        <v>279</v>
      </c>
      <c r="M92">
        <v>-240</v>
      </c>
      <c r="P92" t="s">
        <v>169</v>
      </c>
      <c r="Q92">
        <v>868.90000000000009</v>
      </c>
    </row>
    <row r="93" spans="1:17" x14ac:dyDescent="0.2">
      <c r="A93" s="13" t="s">
        <v>265</v>
      </c>
      <c r="B93" s="13" t="s">
        <v>409</v>
      </c>
      <c r="C93" s="13" t="s">
        <v>398</v>
      </c>
      <c r="E93" s="13" t="s">
        <v>305</v>
      </c>
      <c r="G93">
        <v>191</v>
      </c>
      <c r="H93">
        <f t="shared" si="1"/>
        <v>-191</v>
      </c>
      <c r="L93" s="15" t="s">
        <v>301</v>
      </c>
      <c r="M93">
        <v>-20</v>
      </c>
      <c r="P93" t="s">
        <v>164</v>
      </c>
      <c r="Q93">
        <v>468.96</v>
      </c>
    </row>
    <row r="94" spans="1:17" x14ac:dyDescent="0.2">
      <c r="A94" s="13" t="s">
        <v>266</v>
      </c>
      <c r="B94" s="13" t="s">
        <v>410</v>
      </c>
      <c r="C94" s="13" t="s">
        <v>411</v>
      </c>
      <c r="E94" s="13" t="s">
        <v>305</v>
      </c>
      <c r="G94">
        <v>45</v>
      </c>
      <c r="H94">
        <f t="shared" si="1"/>
        <v>-45</v>
      </c>
      <c r="L94" s="15" t="s">
        <v>280</v>
      </c>
      <c r="M94">
        <v>-71</v>
      </c>
      <c r="P94" t="s">
        <v>171</v>
      </c>
      <c r="Q94">
        <v>41.68</v>
      </c>
    </row>
    <row r="95" spans="1:17" x14ac:dyDescent="0.2">
      <c r="A95" s="13" t="s">
        <v>266</v>
      </c>
      <c r="B95" s="13" t="s">
        <v>410</v>
      </c>
      <c r="C95" s="13" t="s">
        <v>412</v>
      </c>
      <c r="E95" s="13" t="s">
        <v>305</v>
      </c>
      <c r="G95">
        <v>62</v>
      </c>
      <c r="H95">
        <f t="shared" si="1"/>
        <v>-62</v>
      </c>
      <c r="L95" s="15" t="s">
        <v>281</v>
      </c>
      <c r="M95">
        <v>-54</v>
      </c>
      <c r="P95" t="s">
        <v>167</v>
      </c>
      <c r="Q95">
        <v>721.19</v>
      </c>
    </row>
    <row r="96" spans="1:17" x14ac:dyDescent="0.2">
      <c r="A96" s="13" t="s">
        <v>266</v>
      </c>
      <c r="B96" s="13" t="s">
        <v>410</v>
      </c>
      <c r="C96" s="13" t="s">
        <v>413</v>
      </c>
      <c r="E96" s="13" t="s">
        <v>305</v>
      </c>
      <c r="G96">
        <v>62</v>
      </c>
      <c r="H96">
        <f t="shared" si="1"/>
        <v>-62</v>
      </c>
      <c r="L96" s="15" t="s">
        <v>282</v>
      </c>
      <c r="M96">
        <v>-39</v>
      </c>
      <c r="P96" t="s">
        <v>179</v>
      </c>
      <c r="Q96">
        <v>243.77</v>
      </c>
    </row>
    <row r="97" spans="1:17" x14ac:dyDescent="0.2">
      <c r="A97" s="13" t="s">
        <v>267</v>
      </c>
      <c r="B97" s="13" t="s">
        <v>414</v>
      </c>
      <c r="C97" s="13" t="s">
        <v>384</v>
      </c>
      <c r="E97" s="13" t="s">
        <v>305</v>
      </c>
      <c r="G97">
        <v>3</v>
      </c>
      <c r="H97">
        <f t="shared" si="1"/>
        <v>-3</v>
      </c>
      <c r="L97" s="15" t="s">
        <v>283</v>
      </c>
      <c r="M97">
        <v>-152</v>
      </c>
      <c r="P97" t="s">
        <v>178</v>
      </c>
      <c r="Q97">
        <v>203.87</v>
      </c>
    </row>
    <row r="98" spans="1:17" x14ac:dyDescent="0.2">
      <c r="A98" s="13" t="s">
        <v>268</v>
      </c>
      <c r="B98" s="13" t="s">
        <v>415</v>
      </c>
      <c r="C98" s="13" t="s">
        <v>416</v>
      </c>
      <c r="E98" s="13" t="s">
        <v>305</v>
      </c>
      <c r="G98">
        <v>3</v>
      </c>
      <c r="H98">
        <f t="shared" si="1"/>
        <v>-3</v>
      </c>
      <c r="L98" s="15" t="s">
        <v>284</v>
      </c>
      <c r="M98">
        <v>-30</v>
      </c>
      <c r="P98" t="s">
        <v>173</v>
      </c>
      <c r="Q98">
        <v>385.16</v>
      </c>
    </row>
    <row r="99" spans="1:17" x14ac:dyDescent="0.2">
      <c r="A99" s="13" t="s">
        <v>269</v>
      </c>
      <c r="B99" s="13" t="s">
        <v>417</v>
      </c>
      <c r="C99" s="13" t="s">
        <v>418</v>
      </c>
      <c r="E99" s="13" t="s">
        <v>305</v>
      </c>
      <c r="G99">
        <v>12</v>
      </c>
      <c r="H99">
        <f t="shared" si="1"/>
        <v>-12</v>
      </c>
      <c r="L99" s="15" t="s">
        <v>41</v>
      </c>
      <c r="M99">
        <v>-567</v>
      </c>
      <c r="P99" t="s">
        <v>177</v>
      </c>
      <c r="Q99">
        <v>550.04</v>
      </c>
    </row>
    <row r="100" spans="1:17" x14ac:dyDescent="0.2">
      <c r="A100" s="13" t="s">
        <v>270</v>
      </c>
      <c r="B100" s="13" t="s">
        <v>419</v>
      </c>
      <c r="C100" s="13" t="s">
        <v>420</v>
      </c>
      <c r="E100" s="13" t="s">
        <v>305</v>
      </c>
      <c r="G100">
        <v>1</v>
      </c>
      <c r="H100">
        <f t="shared" si="1"/>
        <v>-1</v>
      </c>
      <c r="L100" s="15" t="s">
        <v>285</v>
      </c>
      <c r="M100">
        <v>-469</v>
      </c>
      <c r="P100" t="s">
        <v>176</v>
      </c>
      <c r="Q100">
        <v>1229.5900000000001</v>
      </c>
    </row>
    <row r="101" spans="1:17" x14ac:dyDescent="0.2">
      <c r="A101" s="13" t="s">
        <v>271</v>
      </c>
      <c r="B101" s="13" t="s">
        <v>421</v>
      </c>
      <c r="C101" s="13" t="s">
        <v>420</v>
      </c>
      <c r="E101" s="13" t="s">
        <v>305</v>
      </c>
      <c r="G101">
        <v>1</v>
      </c>
      <c r="H101">
        <f t="shared" si="1"/>
        <v>-1</v>
      </c>
      <c r="L101" s="15" t="s">
        <v>286</v>
      </c>
      <c r="M101">
        <v>-165</v>
      </c>
      <c r="P101" t="s">
        <v>174</v>
      </c>
      <c r="Q101">
        <v>891.01</v>
      </c>
    </row>
    <row r="102" spans="1:17" x14ac:dyDescent="0.2">
      <c r="A102" s="13" t="s">
        <v>272</v>
      </c>
      <c r="B102" s="13" t="s">
        <v>422</v>
      </c>
      <c r="C102" s="13" t="s">
        <v>423</v>
      </c>
      <c r="E102" s="13" t="s">
        <v>305</v>
      </c>
      <c r="G102">
        <v>6</v>
      </c>
      <c r="H102">
        <f t="shared" si="1"/>
        <v>-6</v>
      </c>
      <c r="L102" s="15" t="s">
        <v>47</v>
      </c>
      <c r="M102">
        <v>-245</v>
      </c>
      <c r="P102" t="s">
        <v>175</v>
      </c>
      <c r="Q102">
        <v>61.65</v>
      </c>
    </row>
    <row r="103" spans="1:17" x14ac:dyDescent="0.2">
      <c r="A103" s="13" t="s">
        <v>273</v>
      </c>
      <c r="B103" s="13" t="s">
        <v>424</v>
      </c>
      <c r="C103" s="13" t="s">
        <v>388</v>
      </c>
      <c r="E103" s="13" t="s">
        <v>305</v>
      </c>
      <c r="G103">
        <v>65</v>
      </c>
      <c r="H103">
        <f t="shared" si="1"/>
        <v>-65</v>
      </c>
      <c r="L103" s="15" t="s">
        <v>194</v>
      </c>
      <c r="M103">
        <v>-505</v>
      </c>
      <c r="P103" t="s">
        <v>144</v>
      </c>
      <c r="Q103">
        <v>92.52</v>
      </c>
    </row>
    <row r="104" spans="1:17" x14ac:dyDescent="0.2">
      <c r="A104" s="13" t="s">
        <v>273</v>
      </c>
      <c r="B104" s="13" t="s">
        <v>424</v>
      </c>
      <c r="C104" s="13" t="s">
        <v>425</v>
      </c>
      <c r="E104" s="13" t="s">
        <v>305</v>
      </c>
      <c r="G104">
        <v>2</v>
      </c>
      <c r="H104">
        <f t="shared" si="1"/>
        <v>-2</v>
      </c>
      <c r="L104" s="15" t="s">
        <v>287</v>
      </c>
      <c r="M104">
        <v>-121</v>
      </c>
      <c r="P104" t="s">
        <v>146</v>
      </c>
      <c r="Q104">
        <v>316.14</v>
      </c>
    </row>
    <row r="105" spans="1:17" x14ac:dyDescent="0.2">
      <c r="A105" s="13" t="s">
        <v>273</v>
      </c>
      <c r="B105" s="13" t="s">
        <v>424</v>
      </c>
      <c r="C105" s="13" t="s">
        <v>426</v>
      </c>
      <c r="E105" s="13" t="s">
        <v>305</v>
      </c>
      <c r="G105">
        <v>134</v>
      </c>
      <c r="H105">
        <f t="shared" si="1"/>
        <v>-134</v>
      </c>
      <c r="L105" s="15" t="s">
        <v>288</v>
      </c>
      <c r="M105">
        <v>-435</v>
      </c>
      <c r="P105" t="s">
        <v>185</v>
      </c>
      <c r="Q105">
        <v>86.800000000000011</v>
      </c>
    </row>
    <row r="106" spans="1:17" x14ac:dyDescent="0.2">
      <c r="A106" s="13" t="s">
        <v>273</v>
      </c>
      <c r="B106" s="13" t="s">
        <v>424</v>
      </c>
      <c r="C106" s="13" t="s">
        <v>427</v>
      </c>
      <c r="E106" s="13" t="s">
        <v>305</v>
      </c>
      <c r="G106">
        <v>35</v>
      </c>
      <c r="H106">
        <f t="shared" si="1"/>
        <v>-35</v>
      </c>
      <c r="L106" s="15" t="s">
        <v>38</v>
      </c>
      <c r="M106">
        <v>-221</v>
      </c>
      <c r="P106" t="s">
        <v>141</v>
      </c>
      <c r="Q106">
        <v>92.79</v>
      </c>
    </row>
    <row r="107" spans="1:17" x14ac:dyDescent="0.2">
      <c r="A107" s="13" t="s">
        <v>274</v>
      </c>
      <c r="B107" s="13" t="s">
        <v>428</v>
      </c>
      <c r="C107" s="13" t="s">
        <v>429</v>
      </c>
      <c r="E107" s="13" t="s">
        <v>305</v>
      </c>
      <c r="G107">
        <v>34</v>
      </c>
      <c r="H107">
        <f t="shared" si="1"/>
        <v>-34</v>
      </c>
      <c r="L107" s="15" t="s">
        <v>302</v>
      </c>
      <c r="M107">
        <v>-15</v>
      </c>
      <c r="P107" t="s">
        <v>143</v>
      </c>
      <c r="Q107">
        <v>40</v>
      </c>
    </row>
    <row r="108" spans="1:17" x14ac:dyDescent="0.2">
      <c r="A108" s="13" t="s">
        <v>274</v>
      </c>
      <c r="B108" s="13" t="s">
        <v>428</v>
      </c>
      <c r="C108" s="13" t="s">
        <v>430</v>
      </c>
      <c r="E108" s="13" t="s">
        <v>305</v>
      </c>
      <c r="G108">
        <v>2</v>
      </c>
      <c r="H108">
        <f t="shared" si="1"/>
        <v>-2</v>
      </c>
      <c r="L108" s="15" t="s">
        <v>289</v>
      </c>
      <c r="M108">
        <v>-177</v>
      </c>
      <c r="P108" t="s">
        <v>145</v>
      </c>
      <c r="Q108">
        <v>26.65</v>
      </c>
    </row>
    <row r="109" spans="1:17" x14ac:dyDescent="0.2">
      <c r="A109" s="13" t="s">
        <v>275</v>
      </c>
      <c r="B109" s="13" t="s">
        <v>431</v>
      </c>
      <c r="C109" s="13" t="s">
        <v>430</v>
      </c>
      <c r="E109" s="13" t="s">
        <v>305</v>
      </c>
      <c r="G109">
        <v>27</v>
      </c>
      <c r="H109">
        <f t="shared" si="1"/>
        <v>-27</v>
      </c>
      <c r="L109" s="15" t="s">
        <v>195</v>
      </c>
      <c r="M109">
        <v>-156</v>
      </c>
      <c r="P109" t="s">
        <v>153</v>
      </c>
      <c r="Q109">
        <v>64.400000000000006</v>
      </c>
    </row>
    <row r="110" spans="1:17" x14ac:dyDescent="0.2">
      <c r="A110" s="13" t="s">
        <v>276</v>
      </c>
      <c r="B110" s="13" t="s">
        <v>432</v>
      </c>
      <c r="C110" s="13" t="s">
        <v>311</v>
      </c>
      <c r="E110" s="13" t="s">
        <v>305</v>
      </c>
      <c r="G110">
        <v>95</v>
      </c>
      <c r="H110">
        <f t="shared" si="1"/>
        <v>-95</v>
      </c>
      <c r="L110" s="15" t="s">
        <v>196</v>
      </c>
      <c r="M110">
        <v>-460</v>
      </c>
      <c r="P110" t="s">
        <v>154</v>
      </c>
      <c r="Q110">
        <v>67.209999999999994</v>
      </c>
    </row>
    <row r="111" spans="1:17" x14ac:dyDescent="0.2">
      <c r="A111" s="13" t="s">
        <v>109</v>
      </c>
      <c r="B111" s="13" t="s">
        <v>433</v>
      </c>
      <c r="C111" s="13" t="s">
        <v>384</v>
      </c>
      <c r="E111" s="13" t="s">
        <v>305</v>
      </c>
      <c r="G111">
        <v>5</v>
      </c>
      <c r="H111">
        <f t="shared" si="1"/>
        <v>-5</v>
      </c>
      <c r="L111" s="15" t="s">
        <v>197</v>
      </c>
      <c r="M111">
        <v>-268</v>
      </c>
      <c r="P111" t="s">
        <v>147</v>
      </c>
      <c r="Q111">
        <v>858.3</v>
      </c>
    </row>
    <row r="112" spans="1:17" x14ac:dyDescent="0.2">
      <c r="A112" s="13" t="s">
        <v>277</v>
      </c>
      <c r="B112" s="13" t="s">
        <v>434</v>
      </c>
      <c r="C112" s="13" t="s">
        <v>435</v>
      </c>
      <c r="E112" s="13" t="s">
        <v>305</v>
      </c>
      <c r="G112">
        <v>29</v>
      </c>
      <c r="H112">
        <f t="shared" si="1"/>
        <v>-29</v>
      </c>
      <c r="L112" s="15" t="s">
        <v>198</v>
      </c>
      <c r="M112">
        <v>-869</v>
      </c>
      <c r="P112" t="s">
        <v>152</v>
      </c>
      <c r="Q112">
        <v>807.33</v>
      </c>
    </row>
    <row r="113" spans="1:17" x14ac:dyDescent="0.2">
      <c r="A113" s="13" t="s">
        <v>22</v>
      </c>
      <c r="B113" s="13" t="s">
        <v>436</v>
      </c>
      <c r="C113" s="13" t="s">
        <v>437</v>
      </c>
      <c r="E113" s="13" t="s">
        <v>305</v>
      </c>
      <c r="G113">
        <v>332</v>
      </c>
      <c r="H113">
        <f t="shared" si="1"/>
        <v>-332</v>
      </c>
      <c r="L113" s="15" t="s">
        <v>290</v>
      </c>
      <c r="M113">
        <v>-5</v>
      </c>
      <c r="P113" t="s">
        <v>182</v>
      </c>
      <c r="Q113">
        <v>200</v>
      </c>
    </row>
    <row r="114" spans="1:17" x14ac:dyDescent="0.2">
      <c r="A114" s="13" t="s">
        <v>278</v>
      </c>
      <c r="B114" s="13" t="s">
        <v>438</v>
      </c>
      <c r="C114" s="13" t="s">
        <v>320</v>
      </c>
      <c r="E114" s="13" t="s">
        <v>305</v>
      </c>
      <c r="G114">
        <v>44</v>
      </c>
      <c r="H114">
        <f t="shared" si="1"/>
        <v>-44</v>
      </c>
      <c r="L114" s="15" t="s">
        <v>291</v>
      </c>
      <c r="M114">
        <v>-68</v>
      </c>
      <c r="P114" t="s">
        <v>151</v>
      </c>
      <c r="Q114">
        <v>505.29</v>
      </c>
    </row>
    <row r="115" spans="1:17" x14ac:dyDescent="0.2">
      <c r="A115" s="13" t="s">
        <v>278</v>
      </c>
      <c r="B115" s="13" t="s">
        <v>438</v>
      </c>
      <c r="C115" s="13" t="s">
        <v>439</v>
      </c>
      <c r="E115" s="13" t="s">
        <v>305</v>
      </c>
      <c r="G115">
        <v>246</v>
      </c>
      <c r="H115">
        <f t="shared" si="1"/>
        <v>-246</v>
      </c>
      <c r="L115" s="15" t="s">
        <v>292</v>
      </c>
      <c r="M115">
        <v>-85</v>
      </c>
      <c r="P115" t="s">
        <v>149</v>
      </c>
      <c r="Q115">
        <v>347.53</v>
      </c>
    </row>
    <row r="116" spans="1:17" x14ac:dyDescent="0.2">
      <c r="A116" s="13" t="s">
        <v>279</v>
      </c>
      <c r="B116" s="13" t="s">
        <v>440</v>
      </c>
      <c r="C116" s="13" t="s">
        <v>441</v>
      </c>
      <c r="E116" s="13" t="s">
        <v>305</v>
      </c>
      <c r="G116">
        <v>240</v>
      </c>
      <c r="H116">
        <f t="shared" si="1"/>
        <v>-240</v>
      </c>
      <c r="L116" s="15" t="s">
        <v>293</v>
      </c>
      <c r="M116">
        <v>-7</v>
      </c>
      <c r="P116" t="s">
        <v>150</v>
      </c>
      <c r="Q116">
        <v>742.3</v>
      </c>
    </row>
    <row r="117" spans="1:17" x14ac:dyDescent="0.2">
      <c r="A117" s="13" t="s">
        <v>280</v>
      </c>
      <c r="B117" s="13" t="s">
        <v>442</v>
      </c>
      <c r="C117" s="13" t="s">
        <v>437</v>
      </c>
      <c r="E117" s="13" t="s">
        <v>305</v>
      </c>
      <c r="G117">
        <v>56</v>
      </c>
      <c r="H117">
        <f t="shared" si="1"/>
        <v>-56</v>
      </c>
      <c r="L117" s="15" t="s">
        <v>294</v>
      </c>
      <c r="M117">
        <v>-8</v>
      </c>
      <c r="P117" t="s">
        <v>140</v>
      </c>
      <c r="Q117">
        <v>1538.29</v>
      </c>
    </row>
    <row r="118" spans="1:17" x14ac:dyDescent="0.2">
      <c r="A118" s="13" t="s">
        <v>280</v>
      </c>
      <c r="B118" s="13" t="s">
        <v>442</v>
      </c>
      <c r="C118" s="13" t="s">
        <v>443</v>
      </c>
      <c r="E118" s="13" t="s">
        <v>305</v>
      </c>
      <c r="G118">
        <v>15</v>
      </c>
      <c r="H118">
        <f t="shared" si="1"/>
        <v>-15</v>
      </c>
      <c r="L118" s="15" t="s">
        <v>199</v>
      </c>
      <c r="M118">
        <v>-406</v>
      </c>
      <c r="P118" t="s">
        <v>155</v>
      </c>
      <c r="Q118">
        <v>1020.28</v>
      </c>
    </row>
    <row r="119" spans="1:17" x14ac:dyDescent="0.2">
      <c r="A119" s="13" t="s">
        <v>281</v>
      </c>
      <c r="B119" s="13" t="s">
        <v>444</v>
      </c>
      <c r="C119" s="13" t="s">
        <v>445</v>
      </c>
      <c r="E119" s="13" t="s">
        <v>305</v>
      </c>
      <c r="G119">
        <v>54</v>
      </c>
      <c r="H119">
        <f t="shared" si="1"/>
        <v>-54</v>
      </c>
      <c r="L119" s="15" t="s">
        <v>295</v>
      </c>
      <c r="M119">
        <v>-41</v>
      </c>
      <c r="P119" t="s">
        <v>159</v>
      </c>
      <c r="Q119">
        <v>234.23</v>
      </c>
    </row>
    <row r="120" spans="1:17" x14ac:dyDescent="0.2">
      <c r="A120" s="13" t="s">
        <v>282</v>
      </c>
      <c r="B120" s="13" t="s">
        <v>446</v>
      </c>
      <c r="C120" s="13" t="s">
        <v>447</v>
      </c>
      <c r="E120" s="13" t="s">
        <v>305</v>
      </c>
      <c r="G120">
        <v>39</v>
      </c>
      <c r="H120">
        <f t="shared" si="1"/>
        <v>-39</v>
      </c>
      <c r="L120" s="15" t="s">
        <v>296</v>
      </c>
      <c r="M120">
        <v>-14</v>
      </c>
      <c r="P120" t="s">
        <v>157</v>
      </c>
      <c r="Q120">
        <v>436.17999999999995</v>
      </c>
    </row>
    <row r="121" spans="1:17" x14ac:dyDescent="0.2">
      <c r="A121" s="13" t="s">
        <v>283</v>
      </c>
      <c r="B121" s="13" t="s">
        <v>448</v>
      </c>
      <c r="C121" s="13" t="s">
        <v>449</v>
      </c>
      <c r="E121" s="13" t="s">
        <v>305</v>
      </c>
      <c r="G121">
        <v>52</v>
      </c>
      <c r="H121">
        <f t="shared" si="1"/>
        <v>-52</v>
      </c>
      <c r="L121" s="15" t="s">
        <v>297</v>
      </c>
      <c r="M121">
        <v>-3</v>
      </c>
      <c r="P121" t="s">
        <v>184</v>
      </c>
      <c r="Q121">
        <v>1023.11</v>
      </c>
    </row>
    <row r="122" spans="1:17" x14ac:dyDescent="0.2">
      <c r="A122" s="13" t="s">
        <v>283</v>
      </c>
      <c r="B122" s="13" t="s">
        <v>448</v>
      </c>
      <c r="C122" s="13" t="s">
        <v>435</v>
      </c>
      <c r="E122" s="13" t="s">
        <v>305</v>
      </c>
      <c r="G122">
        <v>100</v>
      </c>
      <c r="H122">
        <f t="shared" si="1"/>
        <v>-100</v>
      </c>
      <c r="L122" s="15" t="s">
        <v>298</v>
      </c>
      <c r="M122">
        <v>-2</v>
      </c>
      <c r="P122" t="s">
        <v>183</v>
      </c>
      <c r="Q122">
        <v>793.96</v>
      </c>
    </row>
    <row r="123" spans="1:17" x14ac:dyDescent="0.2">
      <c r="A123" s="13" t="s">
        <v>284</v>
      </c>
      <c r="B123" s="13" t="s">
        <v>450</v>
      </c>
      <c r="C123" s="13" t="s">
        <v>435</v>
      </c>
      <c r="E123" s="13" t="s">
        <v>305</v>
      </c>
      <c r="G123">
        <v>30</v>
      </c>
      <c r="H123">
        <f t="shared" si="1"/>
        <v>-30</v>
      </c>
      <c r="L123" s="15" t="s">
        <v>486</v>
      </c>
      <c r="M123">
        <v>-25.16</v>
      </c>
      <c r="P123" t="s">
        <v>162</v>
      </c>
      <c r="Q123">
        <v>142.13</v>
      </c>
    </row>
    <row r="124" spans="1:17" x14ac:dyDescent="0.2">
      <c r="A124" s="13" t="s">
        <v>41</v>
      </c>
      <c r="B124" s="13" t="s">
        <v>451</v>
      </c>
      <c r="C124" s="13" t="s">
        <v>445</v>
      </c>
      <c r="E124" s="13" t="s">
        <v>305</v>
      </c>
      <c r="G124">
        <v>567</v>
      </c>
      <c r="H124">
        <f t="shared" si="1"/>
        <v>-567</v>
      </c>
      <c r="L124" s="15" t="s">
        <v>487</v>
      </c>
      <c r="M124">
        <v>-7.18</v>
      </c>
      <c r="P124" t="s">
        <v>161</v>
      </c>
      <c r="Q124">
        <v>82.699999999999989</v>
      </c>
    </row>
    <row r="125" spans="1:17" x14ac:dyDescent="0.2">
      <c r="A125" s="13" t="s">
        <v>285</v>
      </c>
      <c r="B125" s="13" t="s">
        <v>452</v>
      </c>
      <c r="C125" s="13" t="s">
        <v>453</v>
      </c>
      <c r="E125" s="13" t="s">
        <v>305</v>
      </c>
      <c r="G125">
        <v>80</v>
      </c>
      <c r="H125">
        <f t="shared" si="1"/>
        <v>-80</v>
      </c>
      <c r="L125" s="15" t="s">
        <v>488</v>
      </c>
      <c r="M125">
        <v>-20.16</v>
      </c>
      <c r="P125" t="s">
        <v>158</v>
      </c>
      <c r="Q125">
        <v>425.58000000000004</v>
      </c>
    </row>
    <row r="126" spans="1:17" x14ac:dyDescent="0.2">
      <c r="A126" s="13" t="s">
        <v>285</v>
      </c>
      <c r="B126" s="13" t="s">
        <v>452</v>
      </c>
      <c r="C126" s="13" t="s">
        <v>454</v>
      </c>
      <c r="E126" s="13" t="s">
        <v>305</v>
      </c>
      <c r="G126">
        <v>223</v>
      </c>
      <c r="H126">
        <f t="shared" si="1"/>
        <v>-223</v>
      </c>
      <c r="L126" s="15" t="s">
        <v>489</v>
      </c>
      <c r="M126">
        <v>-1289.83</v>
      </c>
      <c r="P126" t="s">
        <v>160</v>
      </c>
      <c r="Q126">
        <v>149.59</v>
      </c>
    </row>
    <row r="127" spans="1:17" x14ac:dyDescent="0.2">
      <c r="A127" s="13" t="s">
        <v>285</v>
      </c>
      <c r="B127" s="13" t="s">
        <v>452</v>
      </c>
      <c r="C127" s="13" t="s">
        <v>307</v>
      </c>
      <c r="E127" s="13" t="s">
        <v>305</v>
      </c>
      <c r="G127">
        <v>166</v>
      </c>
      <c r="H127">
        <f t="shared" si="1"/>
        <v>-166</v>
      </c>
      <c r="L127" s="15" t="s">
        <v>490</v>
      </c>
      <c r="M127">
        <v>-790.96</v>
      </c>
      <c r="P127" t="s">
        <v>163</v>
      </c>
      <c r="Q127">
        <v>654.96</v>
      </c>
    </row>
    <row r="128" spans="1:17" x14ac:dyDescent="0.2">
      <c r="A128" s="13" t="s">
        <v>286</v>
      </c>
      <c r="B128" s="13" t="s">
        <v>455</v>
      </c>
      <c r="C128" s="13" t="s">
        <v>456</v>
      </c>
      <c r="E128" s="13" t="s">
        <v>305</v>
      </c>
      <c r="G128">
        <v>47</v>
      </c>
      <c r="H128">
        <f t="shared" si="1"/>
        <v>-47</v>
      </c>
      <c r="L128" s="15" t="s">
        <v>491</v>
      </c>
      <c r="M128">
        <v>-2051.75</v>
      </c>
      <c r="P128" t="s">
        <v>129</v>
      </c>
      <c r="Q128">
        <v>375.83</v>
      </c>
    </row>
    <row r="129" spans="1:17" x14ac:dyDescent="0.2">
      <c r="A129" s="13" t="s">
        <v>286</v>
      </c>
      <c r="B129" s="13" t="s">
        <v>455</v>
      </c>
      <c r="C129" s="13" t="s">
        <v>307</v>
      </c>
      <c r="E129" s="13" t="s">
        <v>305</v>
      </c>
      <c r="G129">
        <v>118</v>
      </c>
      <c r="H129">
        <f t="shared" si="1"/>
        <v>-118</v>
      </c>
      <c r="L129" s="15" t="s">
        <v>492</v>
      </c>
      <c r="M129">
        <v>-70</v>
      </c>
      <c r="P129" t="s">
        <v>130</v>
      </c>
      <c r="Q129">
        <v>115.72</v>
      </c>
    </row>
    <row r="130" spans="1:17" x14ac:dyDescent="0.2">
      <c r="A130" s="13" t="s">
        <v>47</v>
      </c>
      <c r="B130" s="13" t="s">
        <v>457</v>
      </c>
      <c r="C130" s="13" t="s">
        <v>458</v>
      </c>
      <c r="E130" s="13" t="s">
        <v>305</v>
      </c>
      <c r="G130">
        <v>245</v>
      </c>
      <c r="H130">
        <f t="shared" si="1"/>
        <v>-245</v>
      </c>
      <c r="L130" s="15" t="s">
        <v>493</v>
      </c>
      <c r="M130">
        <v>-875.03</v>
      </c>
      <c r="P130" t="s">
        <v>120</v>
      </c>
      <c r="Q130">
        <v>1043.97</v>
      </c>
    </row>
    <row r="131" spans="1:17" x14ac:dyDescent="0.2">
      <c r="A131" s="13" t="s">
        <v>194</v>
      </c>
      <c r="B131" s="13" t="s">
        <v>306</v>
      </c>
      <c r="C131" s="13" t="s">
        <v>318</v>
      </c>
      <c r="E131" s="13" t="s">
        <v>305</v>
      </c>
      <c r="G131">
        <v>260</v>
      </c>
      <c r="H131">
        <f t="shared" si="1"/>
        <v>-260</v>
      </c>
      <c r="L131" s="15" t="s">
        <v>494</v>
      </c>
      <c r="M131">
        <v>-68.260000000000005</v>
      </c>
      <c r="P131" t="s">
        <v>123</v>
      </c>
      <c r="Q131">
        <v>3435.12</v>
      </c>
    </row>
    <row r="132" spans="1:17" x14ac:dyDescent="0.2">
      <c r="A132" s="13" t="s">
        <v>194</v>
      </c>
      <c r="B132" s="13" t="s">
        <v>306</v>
      </c>
      <c r="C132" s="13" t="s">
        <v>459</v>
      </c>
      <c r="E132" s="13" t="s">
        <v>305</v>
      </c>
      <c r="G132">
        <v>237</v>
      </c>
      <c r="H132">
        <f t="shared" ref="H132:H195" si="2">G132*-1</f>
        <v>-237</v>
      </c>
      <c r="L132" s="15" t="s">
        <v>495</v>
      </c>
      <c r="M132">
        <v>-596</v>
      </c>
      <c r="P132" t="s">
        <v>125</v>
      </c>
      <c r="Q132">
        <v>2229.9899999999998</v>
      </c>
    </row>
    <row r="133" spans="1:17" x14ac:dyDescent="0.2">
      <c r="A133" s="13" t="s">
        <v>287</v>
      </c>
      <c r="B133" s="13" t="s">
        <v>460</v>
      </c>
      <c r="C133" s="13" t="s">
        <v>307</v>
      </c>
      <c r="E133" s="13" t="s">
        <v>305</v>
      </c>
      <c r="G133">
        <v>121</v>
      </c>
      <c r="H133">
        <f t="shared" si="2"/>
        <v>-121</v>
      </c>
      <c r="L133" s="15" t="s">
        <v>496</v>
      </c>
      <c r="M133">
        <v>-166.4</v>
      </c>
      <c r="P133" t="s">
        <v>126</v>
      </c>
      <c r="Q133">
        <v>1417.91</v>
      </c>
    </row>
    <row r="134" spans="1:17" x14ac:dyDescent="0.2">
      <c r="A134" s="13" t="s">
        <v>288</v>
      </c>
      <c r="B134" s="13" t="s">
        <v>461</v>
      </c>
      <c r="C134" s="13" t="s">
        <v>413</v>
      </c>
      <c r="E134" s="13" t="s">
        <v>305</v>
      </c>
      <c r="G134">
        <v>435</v>
      </c>
      <c r="H134">
        <f t="shared" si="2"/>
        <v>-435</v>
      </c>
      <c r="L134" s="15" t="s">
        <v>168</v>
      </c>
      <c r="M134">
        <v>-683.25</v>
      </c>
      <c r="P134" t="s">
        <v>122</v>
      </c>
      <c r="Q134">
        <v>71.41</v>
      </c>
    </row>
    <row r="135" spans="1:17" x14ac:dyDescent="0.2">
      <c r="A135" s="13" t="s">
        <v>38</v>
      </c>
      <c r="B135" s="13" t="s">
        <v>462</v>
      </c>
      <c r="C135" s="13" t="s">
        <v>458</v>
      </c>
      <c r="E135" s="13" t="s">
        <v>305</v>
      </c>
      <c r="G135">
        <v>196</v>
      </c>
      <c r="H135">
        <f t="shared" si="2"/>
        <v>-196</v>
      </c>
      <c r="L135" s="15" t="s">
        <v>166</v>
      </c>
      <c r="M135">
        <v>-106.86</v>
      </c>
      <c r="P135" t="s">
        <v>124</v>
      </c>
      <c r="Q135">
        <v>29.14</v>
      </c>
    </row>
    <row r="136" spans="1:17" x14ac:dyDescent="0.2">
      <c r="A136" s="13" t="s">
        <v>38</v>
      </c>
      <c r="B136" s="13" t="s">
        <v>462</v>
      </c>
      <c r="C136" s="13" t="s">
        <v>463</v>
      </c>
      <c r="E136" s="13" t="s">
        <v>305</v>
      </c>
      <c r="G136">
        <v>25</v>
      </c>
      <c r="H136">
        <f t="shared" si="2"/>
        <v>-25</v>
      </c>
      <c r="L136" s="15" t="s">
        <v>170</v>
      </c>
      <c r="M136">
        <v>-1225.19</v>
      </c>
      <c r="P136" t="s">
        <v>127</v>
      </c>
      <c r="Q136">
        <v>723.26</v>
      </c>
    </row>
    <row r="137" spans="1:17" x14ac:dyDescent="0.2">
      <c r="A137" s="13" t="s">
        <v>289</v>
      </c>
      <c r="B137" s="13" t="s">
        <v>464</v>
      </c>
      <c r="C137" s="13" t="s">
        <v>316</v>
      </c>
      <c r="E137" s="13" t="s">
        <v>305</v>
      </c>
      <c r="G137">
        <v>177</v>
      </c>
      <c r="H137">
        <f t="shared" si="2"/>
        <v>-177</v>
      </c>
      <c r="L137" s="15" t="s">
        <v>169</v>
      </c>
      <c r="M137">
        <v>-208.86</v>
      </c>
      <c r="P137" t="s">
        <v>128</v>
      </c>
      <c r="Q137">
        <v>1269.8800000000001</v>
      </c>
    </row>
    <row r="138" spans="1:17" x14ac:dyDescent="0.2">
      <c r="A138" s="13" t="s">
        <v>195</v>
      </c>
      <c r="B138" s="13" t="s">
        <v>308</v>
      </c>
      <c r="C138" s="13" t="s">
        <v>314</v>
      </c>
      <c r="E138" s="13" t="s">
        <v>305</v>
      </c>
      <c r="G138">
        <v>39</v>
      </c>
      <c r="H138">
        <f t="shared" si="2"/>
        <v>-39</v>
      </c>
      <c r="L138" s="15" t="s">
        <v>497</v>
      </c>
      <c r="M138">
        <v>-386.49</v>
      </c>
      <c r="P138" t="s">
        <v>131</v>
      </c>
      <c r="Q138">
        <v>24.36</v>
      </c>
    </row>
    <row r="139" spans="1:17" x14ac:dyDescent="0.2">
      <c r="A139" s="13" t="s">
        <v>196</v>
      </c>
      <c r="B139" s="13" t="s">
        <v>310</v>
      </c>
      <c r="C139" s="13" t="s">
        <v>312</v>
      </c>
      <c r="E139" s="13" t="s">
        <v>305</v>
      </c>
      <c r="G139">
        <v>133</v>
      </c>
      <c r="H139">
        <f t="shared" si="2"/>
        <v>-133</v>
      </c>
      <c r="L139" s="15" t="s">
        <v>498</v>
      </c>
      <c r="M139">
        <v>-186.61</v>
      </c>
      <c r="P139" t="s">
        <v>135</v>
      </c>
      <c r="Q139">
        <v>885.24</v>
      </c>
    </row>
    <row r="140" spans="1:17" x14ac:dyDescent="0.2">
      <c r="A140" s="13" t="s">
        <v>196</v>
      </c>
      <c r="B140" s="13" t="s">
        <v>310</v>
      </c>
      <c r="C140" s="13" t="s">
        <v>316</v>
      </c>
      <c r="E140" s="13" t="s">
        <v>305</v>
      </c>
      <c r="G140">
        <v>212</v>
      </c>
      <c r="H140">
        <f t="shared" si="2"/>
        <v>-212</v>
      </c>
      <c r="L140" s="15" t="s">
        <v>164</v>
      </c>
      <c r="M140">
        <v>-280.32</v>
      </c>
      <c r="P140" t="s">
        <v>132</v>
      </c>
      <c r="Q140">
        <v>798.66000000000008</v>
      </c>
    </row>
    <row r="141" spans="1:17" x14ac:dyDescent="0.2">
      <c r="A141" s="13" t="s">
        <v>197</v>
      </c>
      <c r="B141" s="13" t="s">
        <v>313</v>
      </c>
      <c r="C141" s="13" t="s">
        <v>314</v>
      </c>
      <c r="E141" s="13" t="s">
        <v>305</v>
      </c>
      <c r="G141">
        <v>78</v>
      </c>
      <c r="H141">
        <f t="shared" si="2"/>
        <v>-78</v>
      </c>
      <c r="L141" s="15" t="s">
        <v>171</v>
      </c>
      <c r="M141">
        <v>-1166.3599999999999</v>
      </c>
      <c r="P141" t="s">
        <v>136</v>
      </c>
      <c r="Q141">
        <v>637.41</v>
      </c>
    </row>
    <row r="142" spans="1:17" x14ac:dyDescent="0.2">
      <c r="A142" s="13" t="s">
        <v>198</v>
      </c>
      <c r="B142" s="13" t="s">
        <v>315</v>
      </c>
      <c r="C142" s="13" t="s">
        <v>465</v>
      </c>
      <c r="E142" s="13" t="s">
        <v>305</v>
      </c>
      <c r="G142">
        <v>467</v>
      </c>
      <c r="H142">
        <f t="shared" si="2"/>
        <v>-467</v>
      </c>
      <c r="L142" s="15" t="s">
        <v>499</v>
      </c>
      <c r="M142">
        <v>-6.64</v>
      </c>
      <c r="P142" t="s">
        <v>181</v>
      </c>
      <c r="Q142">
        <v>96.55</v>
      </c>
    </row>
    <row r="143" spans="1:17" x14ac:dyDescent="0.2">
      <c r="A143" s="13" t="s">
        <v>198</v>
      </c>
      <c r="B143" s="13" t="s">
        <v>315</v>
      </c>
      <c r="C143" s="13" t="s">
        <v>435</v>
      </c>
      <c r="E143" s="13" t="s">
        <v>305</v>
      </c>
      <c r="G143">
        <v>34</v>
      </c>
      <c r="H143">
        <f t="shared" si="2"/>
        <v>-34</v>
      </c>
      <c r="L143" s="15" t="s">
        <v>500</v>
      </c>
      <c r="M143">
        <v>-12.15</v>
      </c>
      <c r="P143" t="s">
        <v>139</v>
      </c>
      <c r="Q143">
        <v>282.3</v>
      </c>
    </row>
    <row r="144" spans="1:17" x14ac:dyDescent="0.2">
      <c r="A144" s="13" t="s">
        <v>198</v>
      </c>
      <c r="B144" s="13" t="s">
        <v>315</v>
      </c>
      <c r="C144" s="13" t="s">
        <v>406</v>
      </c>
      <c r="E144" s="13" t="s">
        <v>305</v>
      </c>
      <c r="G144">
        <v>306</v>
      </c>
      <c r="H144">
        <f t="shared" si="2"/>
        <v>-306</v>
      </c>
      <c r="L144" s="15" t="s">
        <v>501</v>
      </c>
      <c r="M144">
        <v>-162.00800000000001</v>
      </c>
      <c r="P144" t="s">
        <v>138</v>
      </c>
      <c r="Q144">
        <v>644.87</v>
      </c>
    </row>
    <row r="145" spans="1:17" x14ac:dyDescent="0.2">
      <c r="A145" s="13" t="s">
        <v>198</v>
      </c>
      <c r="B145" s="13" t="s">
        <v>315</v>
      </c>
      <c r="C145" s="13" t="s">
        <v>316</v>
      </c>
      <c r="E145" s="13" t="s">
        <v>305</v>
      </c>
      <c r="G145">
        <v>60</v>
      </c>
      <c r="H145">
        <f t="shared" si="2"/>
        <v>-60</v>
      </c>
      <c r="L145" s="15" t="s">
        <v>502</v>
      </c>
      <c r="M145">
        <v>-56.27</v>
      </c>
      <c r="P145" t="s">
        <v>134</v>
      </c>
      <c r="Q145">
        <v>1170.26</v>
      </c>
    </row>
    <row r="146" spans="1:17" x14ac:dyDescent="0.2">
      <c r="A146" s="13" t="s">
        <v>290</v>
      </c>
      <c r="B146" s="13" t="s">
        <v>466</v>
      </c>
      <c r="C146" s="13" t="s">
        <v>467</v>
      </c>
      <c r="E146" s="13" t="s">
        <v>305</v>
      </c>
      <c r="G146">
        <v>5</v>
      </c>
      <c r="H146">
        <f t="shared" si="2"/>
        <v>-5</v>
      </c>
      <c r="L146" s="15" t="s">
        <v>503</v>
      </c>
      <c r="M146">
        <v>-1129.8</v>
      </c>
      <c r="P146" t="s">
        <v>137</v>
      </c>
      <c r="Q146">
        <v>467.98</v>
      </c>
    </row>
    <row r="147" spans="1:17" x14ac:dyDescent="0.2">
      <c r="A147" s="13" t="s">
        <v>291</v>
      </c>
      <c r="B147" s="13" t="s">
        <v>468</v>
      </c>
      <c r="C147" s="13" t="s">
        <v>412</v>
      </c>
      <c r="E147" s="13" t="s">
        <v>305</v>
      </c>
      <c r="G147">
        <v>68</v>
      </c>
      <c r="H147">
        <f t="shared" si="2"/>
        <v>-68</v>
      </c>
      <c r="L147" s="15" t="s">
        <v>504</v>
      </c>
      <c r="M147">
        <v>-69.22</v>
      </c>
      <c r="P147" t="s">
        <v>101</v>
      </c>
      <c r="Q147">
        <v>9</v>
      </c>
    </row>
    <row r="148" spans="1:17" x14ac:dyDescent="0.2">
      <c r="A148" s="13" t="s">
        <v>292</v>
      </c>
      <c r="B148" s="13" t="s">
        <v>469</v>
      </c>
      <c r="C148" s="13" t="s">
        <v>314</v>
      </c>
      <c r="E148" s="13" t="s">
        <v>305</v>
      </c>
      <c r="G148">
        <v>85</v>
      </c>
      <c r="H148">
        <f t="shared" si="2"/>
        <v>-85</v>
      </c>
      <c r="L148" s="15" t="s">
        <v>505</v>
      </c>
      <c r="M148">
        <v>-28.71</v>
      </c>
      <c r="P148" t="s">
        <v>105</v>
      </c>
      <c r="Q148">
        <v>57</v>
      </c>
    </row>
    <row r="149" spans="1:17" x14ac:dyDescent="0.2">
      <c r="A149" s="13" t="s">
        <v>293</v>
      </c>
      <c r="B149" s="13" t="s">
        <v>470</v>
      </c>
      <c r="C149" s="13" t="s">
        <v>471</v>
      </c>
      <c r="E149" s="13" t="s">
        <v>305</v>
      </c>
      <c r="G149">
        <v>7</v>
      </c>
      <c r="H149">
        <f t="shared" si="2"/>
        <v>-7</v>
      </c>
      <c r="L149" s="15" t="s">
        <v>506</v>
      </c>
      <c r="M149">
        <v>-1375.11</v>
      </c>
      <c r="P149" t="s">
        <v>104</v>
      </c>
      <c r="Q149">
        <v>180</v>
      </c>
    </row>
    <row r="150" spans="1:17" x14ac:dyDescent="0.2">
      <c r="A150" s="13" t="s">
        <v>294</v>
      </c>
      <c r="B150" s="13" t="s">
        <v>472</v>
      </c>
      <c r="C150" s="13" t="s">
        <v>471</v>
      </c>
      <c r="E150" s="13" t="s">
        <v>305</v>
      </c>
      <c r="G150">
        <v>8</v>
      </c>
      <c r="H150">
        <f t="shared" si="2"/>
        <v>-8</v>
      </c>
      <c r="L150" s="15" t="s">
        <v>507</v>
      </c>
      <c r="M150">
        <v>-170.69</v>
      </c>
      <c r="P150" t="s">
        <v>96</v>
      </c>
      <c r="Q150">
        <v>112</v>
      </c>
    </row>
    <row r="151" spans="1:17" x14ac:dyDescent="0.2">
      <c r="A151" s="13" t="s">
        <v>199</v>
      </c>
      <c r="B151" s="13" t="s">
        <v>317</v>
      </c>
      <c r="C151" s="13" t="s">
        <v>467</v>
      </c>
      <c r="E151" s="13" t="s">
        <v>305</v>
      </c>
      <c r="G151">
        <v>6</v>
      </c>
      <c r="H151">
        <f t="shared" si="2"/>
        <v>-6</v>
      </c>
      <c r="L151" s="15" t="s">
        <v>508</v>
      </c>
      <c r="M151">
        <v>-35.83</v>
      </c>
      <c r="P151" t="s">
        <v>94</v>
      </c>
      <c r="Q151">
        <v>817</v>
      </c>
    </row>
    <row r="152" spans="1:17" x14ac:dyDescent="0.2">
      <c r="A152" s="13" t="s">
        <v>199</v>
      </c>
      <c r="B152" s="13" t="s">
        <v>317</v>
      </c>
      <c r="C152" s="13" t="s">
        <v>449</v>
      </c>
      <c r="E152" s="13" t="s">
        <v>305</v>
      </c>
      <c r="G152">
        <v>48</v>
      </c>
      <c r="H152">
        <f t="shared" si="2"/>
        <v>-48</v>
      </c>
      <c r="L152" s="15" t="s">
        <v>509</v>
      </c>
      <c r="M152">
        <v>-96.24</v>
      </c>
      <c r="P152" t="s">
        <v>485</v>
      </c>
      <c r="Q152">
        <v>-1347</v>
      </c>
    </row>
    <row r="153" spans="1:17" x14ac:dyDescent="0.2">
      <c r="A153" s="13" t="s">
        <v>199</v>
      </c>
      <c r="B153" s="13" t="s">
        <v>317</v>
      </c>
      <c r="C153" s="13" t="s">
        <v>311</v>
      </c>
      <c r="E153" s="13" t="s">
        <v>305</v>
      </c>
      <c r="G153">
        <v>105</v>
      </c>
      <c r="H153">
        <f t="shared" si="2"/>
        <v>-105</v>
      </c>
      <c r="L153" s="15" t="s">
        <v>510</v>
      </c>
      <c r="M153">
        <v>-185.45999999999998</v>
      </c>
      <c r="P153" t="s">
        <v>78</v>
      </c>
      <c r="Q153">
        <v>-410</v>
      </c>
    </row>
    <row r="154" spans="1:17" x14ac:dyDescent="0.2">
      <c r="A154" s="13" t="s">
        <v>199</v>
      </c>
      <c r="B154" s="13" t="s">
        <v>317</v>
      </c>
      <c r="C154" s="13" t="s">
        <v>312</v>
      </c>
      <c r="E154" s="13" t="s">
        <v>305</v>
      </c>
      <c r="G154">
        <v>175</v>
      </c>
      <c r="H154">
        <f t="shared" si="2"/>
        <v>-175</v>
      </c>
      <c r="L154" s="15" t="s">
        <v>141</v>
      </c>
      <c r="M154">
        <v>-257.97000000000003</v>
      </c>
      <c r="P154" t="s">
        <v>201</v>
      </c>
      <c r="Q154">
        <v>-44</v>
      </c>
    </row>
    <row r="155" spans="1:17" x14ac:dyDescent="0.2">
      <c r="A155" s="13" t="s">
        <v>199</v>
      </c>
      <c r="B155" s="13" t="s">
        <v>317</v>
      </c>
      <c r="C155" s="13" t="s">
        <v>307</v>
      </c>
      <c r="E155" s="13" t="s">
        <v>305</v>
      </c>
      <c r="G155">
        <v>2</v>
      </c>
      <c r="H155">
        <f t="shared" si="2"/>
        <v>-2</v>
      </c>
      <c r="L155" s="15" t="s">
        <v>143</v>
      </c>
      <c r="M155">
        <v>-168.05</v>
      </c>
      <c r="P155" t="s">
        <v>202</v>
      </c>
      <c r="Q155">
        <v>-1075</v>
      </c>
    </row>
    <row r="156" spans="1:17" x14ac:dyDescent="0.2">
      <c r="A156" s="13" t="s">
        <v>295</v>
      </c>
      <c r="B156" s="13" t="s">
        <v>473</v>
      </c>
      <c r="C156" s="13" t="s">
        <v>474</v>
      </c>
      <c r="E156" s="13" t="s">
        <v>305</v>
      </c>
      <c r="G156">
        <v>41</v>
      </c>
      <c r="H156">
        <f t="shared" si="2"/>
        <v>-41</v>
      </c>
      <c r="L156" s="15" t="s">
        <v>511</v>
      </c>
      <c r="M156">
        <v>-317.56</v>
      </c>
      <c r="P156" t="s">
        <v>203</v>
      </c>
      <c r="Q156">
        <v>-8</v>
      </c>
    </row>
    <row r="157" spans="1:17" x14ac:dyDescent="0.2">
      <c r="A157" s="13" t="s">
        <v>296</v>
      </c>
      <c r="B157" s="13" t="s">
        <v>475</v>
      </c>
      <c r="C157" s="13" t="s">
        <v>423</v>
      </c>
      <c r="E157" s="13" t="s">
        <v>305</v>
      </c>
      <c r="G157">
        <v>14</v>
      </c>
      <c r="H157">
        <f t="shared" si="2"/>
        <v>-14</v>
      </c>
      <c r="L157" s="15" t="s">
        <v>153</v>
      </c>
      <c r="M157">
        <v>-400.09</v>
      </c>
      <c r="P157" t="s">
        <v>204</v>
      </c>
      <c r="Q157">
        <v>-240</v>
      </c>
    </row>
    <row r="158" spans="1:17" x14ac:dyDescent="0.2">
      <c r="A158" s="13" t="s">
        <v>297</v>
      </c>
      <c r="B158" s="13" t="s">
        <v>476</v>
      </c>
      <c r="C158" s="13" t="s">
        <v>477</v>
      </c>
      <c r="E158" s="13" t="s">
        <v>305</v>
      </c>
      <c r="G158">
        <v>3</v>
      </c>
      <c r="H158">
        <f t="shared" si="2"/>
        <v>-3</v>
      </c>
      <c r="L158" s="15" t="s">
        <v>154</v>
      </c>
      <c r="M158">
        <v>-533.53</v>
      </c>
      <c r="P158" t="s">
        <v>205</v>
      </c>
      <c r="Q158">
        <v>-2</v>
      </c>
    </row>
    <row r="159" spans="1:17" x14ac:dyDescent="0.2">
      <c r="A159" s="13" t="s">
        <v>298</v>
      </c>
      <c r="B159" s="13" t="s">
        <v>478</v>
      </c>
      <c r="C159" s="13" t="s">
        <v>479</v>
      </c>
      <c r="E159" s="13" t="s">
        <v>305</v>
      </c>
      <c r="G159">
        <v>2</v>
      </c>
      <c r="H159">
        <f t="shared" si="2"/>
        <v>-2</v>
      </c>
      <c r="L159" s="15" t="s">
        <v>147</v>
      </c>
      <c r="M159">
        <v>-870.95</v>
      </c>
      <c r="P159" t="s">
        <v>206</v>
      </c>
      <c r="Q159">
        <v>-1</v>
      </c>
    </row>
    <row r="160" spans="1:17" x14ac:dyDescent="0.2">
      <c r="A160" s="13" t="s">
        <v>299</v>
      </c>
      <c r="B160" s="13" t="s">
        <v>480</v>
      </c>
      <c r="C160" s="13" t="s">
        <v>481</v>
      </c>
      <c r="E160" s="13" t="s">
        <v>305</v>
      </c>
      <c r="G160">
        <v>20</v>
      </c>
      <c r="H160">
        <f t="shared" si="2"/>
        <v>-20</v>
      </c>
      <c r="L160" s="15" t="s">
        <v>152</v>
      </c>
      <c r="M160">
        <v>-286.48</v>
      </c>
      <c r="P160" t="s">
        <v>207</v>
      </c>
      <c r="Q160">
        <v>-1</v>
      </c>
    </row>
    <row r="161" spans="1:17" x14ac:dyDescent="0.2">
      <c r="A161" s="13" t="s">
        <v>300</v>
      </c>
      <c r="B161" s="13" t="s">
        <v>482</v>
      </c>
      <c r="C161" s="13" t="s">
        <v>481</v>
      </c>
      <c r="E161" s="13" t="s">
        <v>305</v>
      </c>
      <c r="G161">
        <v>20</v>
      </c>
      <c r="H161">
        <f t="shared" si="2"/>
        <v>-20</v>
      </c>
      <c r="L161" s="15" t="s">
        <v>182</v>
      </c>
      <c r="M161">
        <v>-63.41</v>
      </c>
      <c r="P161" t="s">
        <v>208</v>
      </c>
      <c r="Q161">
        <v>-8</v>
      </c>
    </row>
    <row r="162" spans="1:17" x14ac:dyDescent="0.2">
      <c r="A162" s="13" t="s">
        <v>301</v>
      </c>
      <c r="B162" s="13" t="s">
        <v>483</v>
      </c>
      <c r="C162" s="13" t="s">
        <v>481</v>
      </c>
      <c r="E162" s="13" t="s">
        <v>305</v>
      </c>
      <c r="G162">
        <v>20</v>
      </c>
      <c r="H162">
        <f t="shared" si="2"/>
        <v>-20</v>
      </c>
      <c r="L162" s="15" t="s">
        <v>151</v>
      </c>
      <c r="M162">
        <v>-1469.7599999999998</v>
      </c>
      <c r="P162" t="s">
        <v>209</v>
      </c>
      <c r="Q162">
        <v>-8</v>
      </c>
    </row>
    <row r="163" spans="1:17" x14ac:dyDescent="0.2">
      <c r="A163" s="13" t="s">
        <v>302</v>
      </c>
      <c r="B163" s="13" t="s">
        <v>484</v>
      </c>
      <c r="C163" s="13" t="s">
        <v>481</v>
      </c>
      <c r="E163" s="13" t="s">
        <v>305</v>
      </c>
      <c r="G163">
        <v>15</v>
      </c>
      <c r="H163">
        <f t="shared" si="2"/>
        <v>-15</v>
      </c>
      <c r="L163" s="15" t="s">
        <v>149</v>
      </c>
      <c r="M163">
        <v>-344.03999999999996</v>
      </c>
      <c r="P163" t="s">
        <v>210</v>
      </c>
      <c r="Q163">
        <v>-8</v>
      </c>
    </row>
    <row r="164" spans="1:17" x14ac:dyDescent="0.2">
      <c r="A164" s="13" t="s">
        <v>485</v>
      </c>
      <c r="G164">
        <v>1327</v>
      </c>
      <c r="H164">
        <f t="shared" si="2"/>
        <v>-1327</v>
      </c>
      <c r="L164" s="15" t="s">
        <v>140</v>
      </c>
      <c r="M164">
        <v>-1538.19</v>
      </c>
      <c r="P164" t="s">
        <v>211</v>
      </c>
      <c r="Q164">
        <v>-8</v>
      </c>
    </row>
    <row r="165" spans="1:17" x14ac:dyDescent="0.2">
      <c r="A165" s="13" t="s">
        <v>485</v>
      </c>
      <c r="G165">
        <v>20</v>
      </c>
      <c r="H165">
        <f t="shared" si="2"/>
        <v>-20</v>
      </c>
      <c r="L165" s="15" t="s">
        <v>155</v>
      </c>
      <c r="M165">
        <v>-946.95</v>
      </c>
      <c r="P165" t="s">
        <v>212</v>
      </c>
      <c r="Q165">
        <v>-8</v>
      </c>
    </row>
    <row r="166" spans="1:17" x14ac:dyDescent="0.2">
      <c r="A166" s="13" t="s">
        <v>78</v>
      </c>
      <c r="G166">
        <v>410</v>
      </c>
      <c r="H166">
        <f t="shared" si="2"/>
        <v>-410</v>
      </c>
      <c r="L166" s="15" t="s">
        <v>159</v>
      </c>
      <c r="M166">
        <v>-253.62</v>
      </c>
      <c r="P166" t="s">
        <v>213</v>
      </c>
      <c r="Q166">
        <v>-8</v>
      </c>
    </row>
    <row r="167" spans="1:17" x14ac:dyDescent="0.2">
      <c r="A167" s="13" t="s">
        <v>486</v>
      </c>
      <c r="G167">
        <v>25.16</v>
      </c>
      <c r="H167">
        <f t="shared" si="2"/>
        <v>-25.16</v>
      </c>
      <c r="L167" s="15" t="s">
        <v>157</v>
      </c>
      <c r="M167">
        <v>-1095.82</v>
      </c>
      <c r="P167" t="s">
        <v>214</v>
      </c>
      <c r="Q167">
        <v>-8</v>
      </c>
    </row>
    <row r="168" spans="1:17" x14ac:dyDescent="0.2">
      <c r="A168" s="13" t="s">
        <v>487</v>
      </c>
      <c r="G168">
        <v>7.18</v>
      </c>
      <c r="H168">
        <f t="shared" si="2"/>
        <v>-7.18</v>
      </c>
      <c r="L168" s="15" t="s">
        <v>184</v>
      </c>
      <c r="M168">
        <v>-206.54</v>
      </c>
      <c r="P168" t="s">
        <v>215</v>
      </c>
      <c r="Q168">
        <v>-8</v>
      </c>
    </row>
    <row r="169" spans="1:17" x14ac:dyDescent="0.2">
      <c r="A169" s="13" t="s">
        <v>488</v>
      </c>
      <c r="G169">
        <v>20.16</v>
      </c>
      <c r="H169">
        <f t="shared" si="2"/>
        <v>-20.16</v>
      </c>
      <c r="L169" s="15" t="s">
        <v>512</v>
      </c>
      <c r="M169">
        <v>-11.65</v>
      </c>
      <c r="P169" t="s">
        <v>216</v>
      </c>
      <c r="Q169">
        <v>-8</v>
      </c>
    </row>
    <row r="170" spans="1:17" x14ac:dyDescent="0.2">
      <c r="A170" s="13" t="s">
        <v>489</v>
      </c>
      <c r="G170">
        <v>1289.83</v>
      </c>
      <c r="H170">
        <f t="shared" si="2"/>
        <v>-1289.83</v>
      </c>
      <c r="L170" s="15" t="s">
        <v>161</v>
      </c>
      <c r="M170">
        <v>-437.78</v>
      </c>
      <c r="P170" t="s">
        <v>217</v>
      </c>
      <c r="Q170">
        <v>-8</v>
      </c>
    </row>
    <row r="171" spans="1:17" x14ac:dyDescent="0.2">
      <c r="A171" s="13" t="s">
        <v>490</v>
      </c>
      <c r="G171">
        <v>111.46</v>
      </c>
      <c r="H171">
        <f t="shared" si="2"/>
        <v>-111.46</v>
      </c>
      <c r="L171" s="15" t="s">
        <v>158</v>
      </c>
      <c r="M171">
        <v>-1468.4</v>
      </c>
      <c r="P171" t="s">
        <v>218</v>
      </c>
      <c r="Q171">
        <v>-8</v>
      </c>
    </row>
    <row r="172" spans="1:17" x14ac:dyDescent="0.2">
      <c r="A172" s="13" t="s">
        <v>490</v>
      </c>
      <c r="G172">
        <v>679.5</v>
      </c>
      <c r="H172">
        <f t="shared" si="2"/>
        <v>-679.5</v>
      </c>
      <c r="L172" s="15" t="s">
        <v>163</v>
      </c>
      <c r="M172">
        <v>-408.08</v>
      </c>
      <c r="P172" t="s">
        <v>219</v>
      </c>
      <c r="Q172">
        <v>-8</v>
      </c>
    </row>
    <row r="173" spans="1:17" x14ac:dyDescent="0.2">
      <c r="A173" s="13" t="s">
        <v>491</v>
      </c>
      <c r="G173">
        <v>2051.75</v>
      </c>
      <c r="H173">
        <f t="shared" si="2"/>
        <v>-2051.75</v>
      </c>
      <c r="L173" s="15" t="s">
        <v>513</v>
      </c>
      <c r="M173">
        <v>-17.95</v>
      </c>
      <c r="P173" t="s">
        <v>200</v>
      </c>
      <c r="Q173">
        <v>-200</v>
      </c>
    </row>
    <row r="174" spans="1:17" x14ac:dyDescent="0.2">
      <c r="A174" s="13" t="s">
        <v>492</v>
      </c>
      <c r="G174">
        <v>70</v>
      </c>
      <c r="H174">
        <f t="shared" si="2"/>
        <v>-70</v>
      </c>
      <c r="L174" s="15" t="s">
        <v>514</v>
      </c>
      <c r="M174">
        <v>-469.22</v>
      </c>
      <c r="P174" t="s">
        <v>220</v>
      </c>
      <c r="Q174">
        <v>-1</v>
      </c>
    </row>
    <row r="175" spans="1:17" x14ac:dyDescent="0.2">
      <c r="A175" s="13" t="s">
        <v>493</v>
      </c>
      <c r="G175">
        <v>875.03</v>
      </c>
      <c r="H175">
        <f t="shared" si="2"/>
        <v>-875.03</v>
      </c>
      <c r="L175" s="15" t="s">
        <v>515</v>
      </c>
      <c r="M175">
        <v>-77.900000000000006</v>
      </c>
      <c r="P175" t="s">
        <v>221</v>
      </c>
      <c r="Q175">
        <v>-3</v>
      </c>
    </row>
    <row r="176" spans="1:17" x14ac:dyDescent="0.2">
      <c r="A176" s="13" t="s">
        <v>494</v>
      </c>
      <c r="G176">
        <v>68.260000000000005</v>
      </c>
      <c r="H176">
        <f t="shared" si="2"/>
        <v>-68.260000000000005</v>
      </c>
      <c r="L176" s="15" t="s">
        <v>129</v>
      </c>
      <c r="M176">
        <v>-261.02999999999997</v>
      </c>
      <c r="P176" t="s">
        <v>222</v>
      </c>
      <c r="Q176">
        <v>-1</v>
      </c>
    </row>
    <row r="177" spans="1:17" x14ac:dyDescent="0.2">
      <c r="A177" s="13" t="s">
        <v>495</v>
      </c>
      <c r="G177">
        <v>209.32</v>
      </c>
      <c r="H177">
        <f t="shared" si="2"/>
        <v>-209.32</v>
      </c>
      <c r="L177" s="15" t="s">
        <v>120</v>
      </c>
      <c r="M177">
        <v>-315.12</v>
      </c>
      <c r="P177" t="s">
        <v>223</v>
      </c>
      <c r="Q177">
        <v>-5</v>
      </c>
    </row>
    <row r="178" spans="1:17" x14ac:dyDescent="0.2">
      <c r="A178" s="13" t="s">
        <v>495</v>
      </c>
      <c r="G178">
        <v>188.84</v>
      </c>
      <c r="H178">
        <f t="shared" si="2"/>
        <v>-188.84</v>
      </c>
      <c r="L178" s="15" t="s">
        <v>123</v>
      </c>
      <c r="M178">
        <v>-1637.46</v>
      </c>
      <c r="P178" t="s">
        <v>224</v>
      </c>
      <c r="Q178">
        <v>-80</v>
      </c>
    </row>
    <row r="179" spans="1:17" x14ac:dyDescent="0.2">
      <c r="A179" s="13" t="s">
        <v>495</v>
      </c>
      <c r="G179">
        <v>197.84</v>
      </c>
      <c r="H179">
        <f t="shared" si="2"/>
        <v>-197.84</v>
      </c>
      <c r="L179" s="15" t="s">
        <v>126</v>
      </c>
      <c r="M179">
        <v>-1010.6</v>
      </c>
      <c r="P179" t="s">
        <v>225</v>
      </c>
      <c r="Q179">
        <v>-27</v>
      </c>
    </row>
    <row r="180" spans="1:17" x14ac:dyDescent="0.2">
      <c r="A180" s="13" t="s">
        <v>496</v>
      </c>
      <c r="G180">
        <v>166.4</v>
      </c>
      <c r="H180">
        <f t="shared" si="2"/>
        <v>-166.4</v>
      </c>
      <c r="L180" s="15" t="s">
        <v>122</v>
      </c>
      <c r="M180">
        <v>-2038.87</v>
      </c>
      <c r="P180" t="s">
        <v>226</v>
      </c>
      <c r="Q180">
        <v>-1018</v>
      </c>
    </row>
    <row r="181" spans="1:17" x14ac:dyDescent="0.2">
      <c r="A181" s="13" t="s">
        <v>168</v>
      </c>
      <c r="G181">
        <v>683.25</v>
      </c>
      <c r="H181">
        <f t="shared" si="2"/>
        <v>-683.25</v>
      </c>
      <c r="L181" s="15" t="s">
        <v>124</v>
      </c>
      <c r="M181">
        <v>-25.64</v>
      </c>
      <c r="P181" t="s">
        <v>227</v>
      </c>
      <c r="Q181">
        <v>-54</v>
      </c>
    </row>
    <row r="182" spans="1:17" x14ac:dyDescent="0.2">
      <c r="A182" s="13" t="s">
        <v>166</v>
      </c>
      <c r="G182">
        <v>106.86</v>
      </c>
      <c r="H182">
        <f t="shared" si="2"/>
        <v>-106.86</v>
      </c>
      <c r="L182" s="15" t="s">
        <v>127</v>
      </c>
      <c r="M182">
        <v>-1208.5900000000001</v>
      </c>
      <c r="P182" t="s">
        <v>228</v>
      </c>
      <c r="Q182">
        <v>-107</v>
      </c>
    </row>
    <row r="183" spans="1:17" x14ac:dyDescent="0.2">
      <c r="A183" s="13" t="s">
        <v>170</v>
      </c>
      <c r="G183">
        <v>821.22</v>
      </c>
      <c r="H183">
        <f t="shared" si="2"/>
        <v>-821.22</v>
      </c>
      <c r="L183" s="15" t="s">
        <v>516</v>
      </c>
      <c r="M183">
        <v>-38.9</v>
      </c>
      <c r="P183" t="s">
        <v>229</v>
      </c>
      <c r="Q183">
        <v>-1</v>
      </c>
    </row>
    <row r="184" spans="1:17" x14ac:dyDescent="0.2">
      <c r="A184" s="13" t="s">
        <v>170</v>
      </c>
      <c r="G184">
        <v>403.97</v>
      </c>
      <c r="H184">
        <f t="shared" si="2"/>
        <v>-403.97</v>
      </c>
      <c r="L184" s="15" t="s">
        <v>128</v>
      </c>
      <c r="M184">
        <v>-1396</v>
      </c>
      <c r="P184" t="s">
        <v>230</v>
      </c>
      <c r="Q184">
        <v>-102</v>
      </c>
    </row>
    <row r="185" spans="1:17" x14ac:dyDescent="0.2">
      <c r="A185" s="13" t="s">
        <v>169</v>
      </c>
      <c r="G185">
        <v>134.27000000000001</v>
      </c>
      <c r="H185">
        <f t="shared" si="2"/>
        <v>-134.27000000000001</v>
      </c>
      <c r="L185" s="15" t="s">
        <v>517</v>
      </c>
      <c r="M185">
        <v>-761.62</v>
      </c>
      <c r="P185" t="s">
        <v>231</v>
      </c>
      <c r="Q185">
        <v>-978</v>
      </c>
    </row>
    <row r="186" spans="1:17" x14ac:dyDescent="0.2">
      <c r="A186" s="13" t="s">
        <v>169</v>
      </c>
      <c r="G186">
        <v>74.59</v>
      </c>
      <c r="H186">
        <f t="shared" si="2"/>
        <v>-74.59</v>
      </c>
      <c r="L186" s="15" t="s">
        <v>518</v>
      </c>
      <c r="M186">
        <v>-831.07</v>
      </c>
      <c r="P186" t="s">
        <v>232</v>
      </c>
      <c r="Q186">
        <v>-68</v>
      </c>
    </row>
    <row r="187" spans="1:17" x14ac:dyDescent="0.2">
      <c r="A187" s="13" t="s">
        <v>497</v>
      </c>
      <c r="G187">
        <v>51.84</v>
      </c>
      <c r="H187">
        <f t="shared" si="2"/>
        <v>-51.84</v>
      </c>
      <c r="L187" s="15" t="s">
        <v>135</v>
      </c>
      <c r="M187">
        <v>-375.97</v>
      </c>
      <c r="P187" t="s">
        <v>233</v>
      </c>
      <c r="Q187">
        <v>-2</v>
      </c>
    </row>
    <row r="188" spans="1:17" x14ac:dyDescent="0.2">
      <c r="A188" s="13" t="s">
        <v>497</v>
      </c>
      <c r="G188">
        <v>334.65</v>
      </c>
      <c r="H188">
        <f t="shared" si="2"/>
        <v>-334.65</v>
      </c>
      <c r="L188" s="15" t="s">
        <v>519</v>
      </c>
      <c r="M188">
        <v>-192.6</v>
      </c>
      <c r="P188" t="s">
        <v>234</v>
      </c>
      <c r="Q188">
        <v>-7</v>
      </c>
    </row>
    <row r="189" spans="1:17" x14ac:dyDescent="0.2">
      <c r="A189" s="13" t="s">
        <v>498</v>
      </c>
      <c r="G189">
        <v>186.61</v>
      </c>
      <c r="H189">
        <f t="shared" si="2"/>
        <v>-186.61</v>
      </c>
      <c r="L189" s="15" t="s">
        <v>132</v>
      </c>
      <c r="M189">
        <v>-459.65000000000003</v>
      </c>
      <c r="P189" t="s">
        <v>235</v>
      </c>
      <c r="Q189">
        <v>-55</v>
      </c>
    </row>
    <row r="190" spans="1:17" x14ac:dyDescent="0.2">
      <c r="A190" s="13" t="s">
        <v>164</v>
      </c>
      <c r="G190">
        <v>280.32</v>
      </c>
      <c r="H190">
        <f t="shared" si="2"/>
        <v>-280.32</v>
      </c>
      <c r="L190" s="15" t="s">
        <v>139</v>
      </c>
      <c r="M190">
        <v>-34.049999999999997</v>
      </c>
      <c r="P190" t="s">
        <v>236</v>
      </c>
      <c r="Q190">
        <v>-12</v>
      </c>
    </row>
    <row r="191" spans="1:17" x14ac:dyDescent="0.2">
      <c r="A191" s="13" t="s">
        <v>171</v>
      </c>
      <c r="G191">
        <v>369.13</v>
      </c>
      <c r="H191">
        <f t="shared" si="2"/>
        <v>-369.13</v>
      </c>
      <c r="L191" s="15" t="s">
        <v>138</v>
      </c>
      <c r="M191">
        <v>-367.44</v>
      </c>
      <c r="P191" t="s">
        <v>237</v>
      </c>
      <c r="Q191">
        <v>-122</v>
      </c>
    </row>
    <row r="192" spans="1:17" x14ac:dyDescent="0.2">
      <c r="A192" s="13" t="s">
        <v>171</v>
      </c>
      <c r="G192">
        <v>588.79</v>
      </c>
      <c r="H192">
        <f t="shared" si="2"/>
        <v>-588.79</v>
      </c>
      <c r="L192" s="15" t="s">
        <v>520</v>
      </c>
      <c r="M192">
        <v>-21.87</v>
      </c>
      <c r="P192" t="s">
        <v>238</v>
      </c>
      <c r="Q192">
        <v>-141</v>
      </c>
    </row>
    <row r="193" spans="1:17" x14ac:dyDescent="0.2">
      <c r="A193" s="13" t="s">
        <v>171</v>
      </c>
      <c r="G193">
        <v>208.44</v>
      </c>
      <c r="H193">
        <f t="shared" si="2"/>
        <v>-208.44</v>
      </c>
      <c r="L193" s="15" t="s">
        <v>134</v>
      </c>
      <c r="M193">
        <v>-278.69</v>
      </c>
      <c r="P193" t="s">
        <v>239</v>
      </c>
      <c r="Q193">
        <v>-55</v>
      </c>
    </row>
    <row r="194" spans="1:17" x14ac:dyDescent="0.2">
      <c r="A194" s="13" t="s">
        <v>499</v>
      </c>
      <c r="G194">
        <v>6.64</v>
      </c>
      <c r="H194">
        <f t="shared" si="2"/>
        <v>-6.64</v>
      </c>
      <c r="L194" s="15" t="s">
        <v>137</v>
      </c>
      <c r="M194">
        <v>-261.5</v>
      </c>
      <c r="P194" t="s">
        <v>240</v>
      </c>
      <c r="Q194">
        <v>-3</v>
      </c>
    </row>
    <row r="195" spans="1:17" x14ac:dyDescent="0.2">
      <c r="A195" s="13" t="s">
        <v>500</v>
      </c>
      <c r="G195">
        <v>12.15</v>
      </c>
      <c r="H195">
        <f t="shared" si="2"/>
        <v>-12.15</v>
      </c>
      <c r="L195" s="15" t="s">
        <v>521</v>
      </c>
      <c r="M195">
        <v>-177.83</v>
      </c>
      <c r="P195" t="s">
        <v>241</v>
      </c>
      <c r="Q195">
        <v>-3</v>
      </c>
    </row>
    <row r="196" spans="1:17" x14ac:dyDescent="0.2">
      <c r="A196" s="13" t="s">
        <v>501</v>
      </c>
      <c r="G196">
        <v>162.00800000000001</v>
      </c>
      <c r="H196">
        <f t="shared" ref="H196:H259" si="3">G196*-1</f>
        <v>-162.00800000000001</v>
      </c>
      <c r="L196" s="15" t="s">
        <v>522</v>
      </c>
      <c r="M196">
        <v>-2603.8200000000002</v>
      </c>
      <c r="P196" t="s">
        <v>242</v>
      </c>
      <c r="Q196">
        <v>-6</v>
      </c>
    </row>
    <row r="197" spans="1:17" x14ac:dyDescent="0.2">
      <c r="A197" s="13" t="s">
        <v>502</v>
      </c>
      <c r="G197">
        <v>56.27</v>
      </c>
      <c r="H197">
        <f t="shared" si="3"/>
        <v>-56.27</v>
      </c>
      <c r="L197" s="15" t="s">
        <v>523</v>
      </c>
      <c r="M197">
        <v>-364.52</v>
      </c>
      <c r="P197" t="s">
        <v>243</v>
      </c>
      <c r="Q197">
        <v>-7</v>
      </c>
    </row>
    <row r="198" spans="1:17" x14ac:dyDescent="0.2">
      <c r="A198" s="13" t="s">
        <v>503</v>
      </c>
      <c r="G198">
        <v>1129.8</v>
      </c>
      <c r="H198">
        <f t="shared" si="3"/>
        <v>-1129.8</v>
      </c>
      <c r="L198" s="15" t="s">
        <v>524</v>
      </c>
      <c r="M198">
        <v>-228.8</v>
      </c>
      <c r="P198" t="s">
        <v>244</v>
      </c>
      <c r="Q198">
        <v>-2</v>
      </c>
    </row>
    <row r="199" spans="1:17" x14ac:dyDescent="0.2">
      <c r="A199" s="13" t="s">
        <v>504</v>
      </c>
      <c r="G199">
        <v>69.22</v>
      </c>
      <c r="H199">
        <f t="shared" si="3"/>
        <v>-69.22</v>
      </c>
      <c r="L199" s="15" t="s">
        <v>525</v>
      </c>
      <c r="M199">
        <v>-18.850000000000001</v>
      </c>
      <c r="P199" t="s">
        <v>245</v>
      </c>
      <c r="Q199">
        <v>-6</v>
      </c>
    </row>
    <row r="200" spans="1:17" x14ac:dyDescent="0.2">
      <c r="A200" s="13" t="s">
        <v>505</v>
      </c>
      <c r="G200">
        <v>28.71</v>
      </c>
      <c r="H200">
        <f t="shared" si="3"/>
        <v>-28.71</v>
      </c>
      <c r="L200" s="15" t="s">
        <v>526</v>
      </c>
      <c r="M200">
        <v>-571.58000000000004</v>
      </c>
      <c r="P200" t="s">
        <v>246</v>
      </c>
      <c r="Q200">
        <v>-3</v>
      </c>
    </row>
    <row r="201" spans="1:17" x14ac:dyDescent="0.2">
      <c r="A201" s="13" t="s">
        <v>506</v>
      </c>
      <c r="G201">
        <v>1375.11</v>
      </c>
      <c r="H201">
        <f t="shared" si="3"/>
        <v>-1375.11</v>
      </c>
      <c r="L201" s="15" t="s">
        <v>528</v>
      </c>
      <c r="M201">
        <v>-56645.808000000026</v>
      </c>
      <c r="P201" t="s">
        <v>247</v>
      </c>
      <c r="Q201">
        <v>-7</v>
      </c>
    </row>
    <row r="202" spans="1:17" x14ac:dyDescent="0.2">
      <c r="A202" s="13" t="s">
        <v>507</v>
      </c>
      <c r="G202">
        <v>170.69</v>
      </c>
      <c r="H202">
        <f t="shared" si="3"/>
        <v>-170.69</v>
      </c>
      <c r="P202" t="s">
        <v>248</v>
      </c>
      <c r="Q202">
        <v>-8</v>
      </c>
    </row>
    <row r="203" spans="1:17" x14ac:dyDescent="0.2">
      <c r="A203" s="13" t="s">
        <v>508</v>
      </c>
      <c r="G203">
        <v>35.83</v>
      </c>
      <c r="H203">
        <f t="shared" si="3"/>
        <v>-35.83</v>
      </c>
      <c r="P203" t="s">
        <v>249</v>
      </c>
      <c r="Q203">
        <v>-3</v>
      </c>
    </row>
    <row r="204" spans="1:17" x14ac:dyDescent="0.2">
      <c r="A204" s="13" t="s">
        <v>509</v>
      </c>
      <c r="G204">
        <v>96.24</v>
      </c>
      <c r="H204">
        <f t="shared" si="3"/>
        <v>-96.24</v>
      </c>
      <c r="P204" t="s">
        <v>250</v>
      </c>
      <c r="Q204">
        <v>-3</v>
      </c>
    </row>
    <row r="205" spans="1:17" x14ac:dyDescent="0.2">
      <c r="A205" s="13" t="s">
        <v>510</v>
      </c>
      <c r="G205">
        <v>162.41999999999999</v>
      </c>
      <c r="H205">
        <f t="shared" si="3"/>
        <v>-162.41999999999999</v>
      </c>
      <c r="P205" t="s">
        <v>251</v>
      </c>
      <c r="Q205">
        <v>-18</v>
      </c>
    </row>
    <row r="206" spans="1:17" x14ac:dyDescent="0.2">
      <c r="A206" s="13" t="s">
        <v>510</v>
      </c>
      <c r="G206">
        <v>23.04</v>
      </c>
      <c r="H206">
        <f t="shared" si="3"/>
        <v>-23.04</v>
      </c>
      <c r="P206" t="s">
        <v>252</v>
      </c>
      <c r="Q206">
        <v>-12</v>
      </c>
    </row>
    <row r="207" spans="1:17" x14ac:dyDescent="0.2">
      <c r="A207" s="13" t="s">
        <v>141</v>
      </c>
      <c r="G207">
        <v>257.97000000000003</v>
      </c>
      <c r="H207">
        <f t="shared" si="3"/>
        <v>-257.97000000000003</v>
      </c>
      <c r="P207" t="s">
        <v>253</v>
      </c>
      <c r="Q207">
        <v>-2</v>
      </c>
    </row>
    <row r="208" spans="1:17" x14ac:dyDescent="0.2">
      <c r="A208" s="13" t="s">
        <v>143</v>
      </c>
      <c r="G208">
        <v>168.05</v>
      </c>
      <c r="H208">
        <f t="shared" si="3"/>
        <v>-168.05</v>
      </c>
      <c r="P208" t="s">
        <v>254</v>
      </c>
      <c r="Q208">
        <v>-17</v>
      </c>
    </row>
    <row r="209" spans="1:17" x14ac:dyDescent="0.2">
      <c r="A209" s="13" t="s">
        <v>511</v>
      </c>
      <c r="G209">
        <v>80.64</v>
      </c>
      <c r="H209">
        <f t="shared" si="3"/>
        <v>-80.64</v>
      </c>
      <c r="P209" t="s">
        <v>255</v>
      </c>
      <c r="Q209">
        <v>-95</v>
      </c>
    </row>
    <row r="210" spans="1:17" x14ac:dyDescent="0.2">
      <c r="A210" s="13" t="s">
        <v>511</v>
      </c>
      <c r="G210">
        <v>236.92</v>
      </c>
      <c r="H210">
        <f t="shared" si="3"/>
        <v>-236.92</v>
      </c>
      <c r="P210" t="s">
        <v>256</v>
      </c>
      <c r="Q210">
        <v>-241</v>
      </c>
    </row>
    <row r="211" spans="1:17" x14ac:dyDescent="0.2">
      <c r="A211" s="13" t="s">
        <v>153</v>
      </c>
      <c r="G211">
        <v>400.09</v>
      </c>
      <c r="H211">
        <f t="shared" si="3"/>
        <v>-400.09</v>
      </c>
      <c r="P211" t="s">
        <v>257</v>
      </c>
      <c r="Q211">
        <v>-35</v>
      </c>
    </row>
    <row r="212" spans="1:17" x14ac:dyDescent="0.2">
      <c r="A212" s="13" t="s">
        <v>154</v>
      </c>
      <c r="G212">
        <v>533.53</v>
      </c>
      <c r="H212">
        <f t="shared" si="3"/>
        <v>-533.53</v>
      </c>
      <c r="P212" t="s">
        <v>258</v>
      </c>
      <c r="Q212">
        <v>-1</v>
      </c>
    </row>
    <row r="213" spans="1:17" x14ac:dyDescent="0.2">
      <c r="A213" s="13" t="s">
        <v>147</v>
      </c>
      <c r="G213">
        <v>219.2</v>
      </c>
      <c r="H213">
        <f t="shared" si="3"/>
        <v>-219.2</v>
      </c>
      <c r="P213" t="s">
        <v>259</v>
      </c>
      <c r="Q213">
        <v>-283</v>
      </c>
    </row>
    <row r="214" spans="1:17" x14ac:dyDescent="0.2">
      <c r="A214" s="13" t="s">
        <v>147</v>
      </c>
      <c r="G214">
        <v>244.54</v>
      </c>
      <c r="H214">
        <f t="shared" si="3"/>
        <v>-244.54</v>
      </c>
      <c r="P214" t="s">
        <v>260</v>
      </c>
      <c r="Q214">
        <v>-98</v>
      </c>
    </row>
    <row r="215" spans="1:17" x14ac:dyDescent="0.2">
      <c r="A215" s="13" t="s">
        <v>147</v>
      </c>
      <c r="G215">
        <v>407.21</v>
      </c>
      <c r="H215">
        <f t="shared" si="3"/>
        <v>-407.21</v>
      </c>
      <c r="P215" t="s">
        <v>261</v>
      </c>
      <c r="Q215">
        <v>-290</v>
      </c>
    </row>
    <row r="216" spans="1:17" x14ac:dyDescent="0.2">
      <c r="A216" s="13" t="s">
        <v>152</v>
      </c>
      <c r="G216">
        <v>47.44</v>
      </c>
      <c r="H216">
        <f t="shared" si="3"/>
        <v>-47.44</v>
      </c>
      <c r="P216" t="s">
        <v>56</v>
      </c>
      <c r="Q216">
        <v>-92</v>
      </c>
    </row>
    <row r="217" spans="1:17" x14ac:dyDescent="0.2">
      <c r="A217" s="13" t="s">
        <v>152</v>
      </c>
      <c r="G217">
        <v>239.04</v>
      </c>
      <c r="H217">
        <f t="shared" si="3"/>
        <v>-239.04</v>
      </c>
      <c r="P217" t="s">
        <v>262</v>
      </c>
      <c r="Q217">
        <v>-454</v>
      </c>
    </row>
    <row r="218" spans="1:17" x14ac:dyDescent="0.2">
      <c r="A218" s="13" t="s">
        <v>182</v>
      </c>
      <c r="G218">
        <v>63.41</v>
      </c>
      <c r="H218">
        <f t="shared" si="3"/>
        <v>-63.41</v>
      </c>
      <c r="P218" t="s">
        <v>263</v>
      </c>
      <c r="Q218">
        <v>-314</v>
      </c>
    </row>
    <row r="219" spans="1:17" x14ac:dyDescent="0.2">
      <c r="A219" s="13" t="s">
        <v>151</v>
      </c>
      <c r="G219">
        <v>163.38999999999999</v>
      </c>
      <c r="H219">
        <f t="shared" si="3"/>
        <v>-163.38999999999999</v>
      </c>
      <c r="P219" t="s">
        <v>264</v>
      </c>
      <c r="Q219">
        <v>-323</v>
      </c>
    </row>
    <row r="220" spans="1:17" x14ac:dyDescent="0.2">
      <c r="A220" s="13" t="s">
        <v>151</v>
      </c>
      <c r="G220">
        <v>976.27</v>
      </c>
      <c r="H220">
        <f t="shared" si="3"/>
        <v>-976.27</v>
      </c>
      <c r="P220" t="s">
        <v>265</v>
      </c>
      <c r="Q220">
        <v>-191</v>
      </c>
    </row>
    <row r="221" spans="1:17" x14ac:dyDescent="0.2">
      <c r="A221" s="13" t="s">
        <v>151</v>
      </c>
      <c r="G221">
        <v>330.1</v>
      </c>
      <c r="H221">
        <f t="shared" si="3"/>
        <v>-330.1</v>
      </c>
      <c r="P221" t="s">
        <v>266</v>
      </c>
      <c r="Q221">
        <v>-169</v>
      </c>
    </row>
    <row r="222" spans="1:17" x14ac:dyDescent="0.2">
      <c r="A222" s="13" t="s">
        <v>149</v>
      </c>
      <c r="G222">
        <v>100.44</v>
      </c>
      <c r="H222">
        <f t="shared" si="3"/>
        <v>-100.44</v>
      </c>
      <c r="P222" t="s">
        <v>299</v>
      </c>
      <c r="Q222">
        <v>-20</v>
      </c>
    </row>
    <row r="223" spans="1:17" x14ac:dyDescent="0.2">
      <c r="A223" s="13" t="s">
        <v>149</v>
      </c>
      <c r="G223">
        <v>243.6</v>
      </c>
      <c r="H223">
        <f t="shared" si="3"/>
        <v>-243.6</v>
      </c>
      <c r="P223" t="s">
        <v>267</v>
      </c>
      <c r="Q223">
        <v>-3</v>
      </c>
    </row>
    <row r="224" spans="1:17" x14ac:dyDescent="0.2">
      <c r="A224" s="13" t="s">
        <v>140</v>
      </c>
      <c r="G224">
        <v>1538.19</v>
      </c>
      <c r="H224">
        <f t="shared" si="3"/>
        <v>-1538.19</v>
      </c>
      <c r="P224" t="s">
        <v>268</v>
      </c>
      <c r="Q224">
        <v>-3</v>
      </c>
    </row>
    <row r="225" spans="1:17" x14ac:dyDescent="0.2">
      <c r="A225" s="13" t="s">
        <v>155</v>
      </c>
      <c r="G225">
        <v>946.95</v>
      </c>
      <c r="H225">
        <f t="shared" si="3"/>
        <v>-946.95</v>
      </c>
      <c r="P225" t="s">
        <v>269</v>
      </c>
      <c r="Q225">
        <v>-12</v>
      </c>
    </row>
    <row r="226" spans="1:17" x14ac:dyDescent="0.2">
      <c r="A226" s="13" t="s">
        <v>159</v>
      </c>
      <c r="G226">
        <v>114.14</v>
      </c>
      <c r="H226">
        <f t="shared" si="3"/>
        <v>-114.14</v>
      </c>
      <c r="P226" t="s">
        <v>270</v>
      </c>
      <c r="Q226">
        <v>-1</v>
      </c>
    </row>
    <row r="227" spans="1:17" x14ac:dyDescent="0.2">
      <c r="A227" s="13" t="s">
        <v>159</v>
      </c>
      <c r="G227">
        <v>139.47999999999999</v>
      </c>
      <c r="H227">
        <f t="shared" si="3"/>
        <v>-139.47999999999999</v>
      </c>
      <c r="P227" t="s">
        <v>271</v>
      </c>
      <c r="Q227">
        <v>-1</v>
      </c>
    </row>
    <row r="228" spans="1:17" x14ac:dyDescent="0.2">
      <c r="A228" s="13" t="s">
        <v>157</v>
      </c>
      <c r="G228">
        <v>332.67</v>
      </c>
      <c r="H228">
        <f t="shared" si="3"/>
        <v>-332.67</v>
      </c>
      <c r="P228" t="s">
        <v>272</v>
      </c>
      <c r="Q228">
        <v>-6</v>
      </c>
    </row>
    <row r="229" spans="1:17" x14ac:dyDescent="0.2">
      <c r="A229" s="13" t="s">
        <v>157</v>
      </c>
      <c r="G229">
        <v>282.01</v>
      </c>
      <c r="H229">
        <f t="shared" si="3"/>
        <v>-282.01</v>
      </c>
      <c r="P229" t="s">
        <v>273</v>
      </c>
      <c r="Q229">
        <v>-236</v>
      </c>
    </row>
    <row r="230" spans="1:17" x14ac:dyDescent="0.2">
      <c r="A230" s="13" t="s">
        <v>157</v>
      </c>
      <c r="G230">
        <v>46.06</v>
      </c>
      <c r="H230">
        <f t="shared" si="3"/>
        <v>-46.06</v>
      </c>
      <c r="P230" t="s">
        <v>274</v>
      </c>
      <c r="Q230">
        <v>-36</v>
      </c>
    </row>
    <row r="231" spans="1:17" x14ac:dyDescent="0.2">
      <c r="A231" s="13" t="s">
        <v>157</v>
      </c>
      <c r="G231">
        <v>138.38</v>
      </c>
      <c r="H231">
        <f t="shared" si="3"/>
        <v>-138.38</v>
      </c>
      <c r="P231" t="s">
        <v>275</v>
      </c>
      <c r="Q231">
        <v>-27</v>
      </c>
    </row>
    <row r="232" spans="1:17" x14ac:dyDescent="0.2">
      <c r="A232" s="13" t="s">
        <v>157</v>
      </c>
      <c r="G232">
        <v>296.7</v>
      </c>
      <c r="H232">
        <f t="shared" si="3"/>
        <v>-296.7</v>
      </c>
      <c r="P232" t="s">
        <v>300</v>
      </c>
      <c r="Q232">
        <v>-20</v>
      </c>
    </row>
    <row r="233" spans="1:17" x14ac:dyDescent="0.2">
      <c r="A233" s="13" t="s">
        <v>184</v>
      </c>
      <c r="G233">
        <v>206.54</v>
      </c>
      <c r="H233">
        <f t="shared" si="3"/>
        <v>-206.54</v>
      </c>
      <c r="P233" t="s">
        <v>276</v>
      </c>
      <c r="Q233">
        <v>-95</v>
      </c>
    </row>
    <row r="234" spans="1:17" x14ac:dyDescent="0.2">
      <c r="A234" s="13" t="s">
        <v>512</v>
      </c>
      <c r="G234">
        <v>11.65</v>
      </c>
      <c r="H234">
        <f t="shared" si="3"/>
        <v>-11.65</v>
      </c>
      <c r="P234" t="s">
        <v>109</v>
      </c>
      <c r="Q234">
        <v>-5</v>
      </c>
    </row>
    <row r="235" spans="1:17" x14ac:dyDescent="0.2">
      <c r="A235" s="13" t="s">
        <v>161</v>
      </c>
      <c r="G235">
        <v>137.15</v>
      </c>
      <c r="H235">
        <f t="shared" si="3"/>
        <v>-137.15</v>
      </c>
      <c r="P235" t="s">
        <v>193</v>
      </c>
      <c r="Q235">
        <v>-4</v>
      </c>
    </row>
    <row r="236" spans="1:17" x14ac:dyDescent="0.2">
      <c r="A236" s="13" t="s">
        <v>161</v>
      </c>
      <c r="G236">
        <v>300.63</v>
      </c>
      <c r="H236">
        <f t="shared" si="3"/>
        <v>-300.63</v>
      </c>
      <c r="P236" t="s">
        <v>277</v>
      </c>
      <c r="Q236">
        <v>-29</v>
      </c>
    </row>
    <row r="237" spans="1:17" x14ac:dyDescent="0.2">
      <c r="A237" s="13" t="s">
        <v>158</v>
      </c>
      <c r="G237">
        <v>223.9</v>
      </c>
      <c r="H237">
        <f t="shared" si="3"/>
        <v>-223.9</v>
      </c>
      <c r="P237" t="s">
        <v>22</v>
      </c>
      <c r="Q237">
        <v>-332</v>
      </c>
    </row>
    <row r="238" spans="1:17" x14ac:dyDescent="0.2">
      <c r="A238" s="13" t="s">
        <v>158</v>
      </c>
      <c r="G238">
        <v>1008.08</v>
      </c>
      <c r="H238">
        <f t="shared" si="3"/>
        <v>-1008.08</v>
      </c>
      <c r="P238" t="s">
        <v>278</v>
      </c>
      <c r="Q238">
        <v>-290</v>
      </c>
    </row>
    <row r="239" spans="1:17" x14ac:dyDescent="0.2">
      <c r="A239" s="13" t="s">
        <v>158</v>
      </c>
      <c r="G239">
        <v>236.42</v>
      </c>
      <c r="H239">
        <f t="shared" si="3"/>
        <v>-236.42</v>
      </c>
      <c r="P239" t="s">
        <v>279</v>
      </c>
      <c r="Q239">
        <v>-240</v>
      </c>
    </row>
    <row r="240" spans="1:17" x14ac:dyDescent="0.2">
      <c r="A240" s="13" t="s">
        <v>163</v>
      </c>
      <c r="G240">
        <v>126.12</v>
      </c>
      <c r="H240">
        <f t="shared" si="3"/>
        <v>-126.12</v>
      </c>
      <c r="P240" t="s">
        <v>301</v>
      </c>
      <c r="Q240">
        <v>-20</v>
      </c>
    </row>
    <row r="241" spans="1:17" x14ac:dyDescent="0.2">
      <c r="A241" s="13" t="s">
        <v>163</v>
      </c>
      <c r="G241">
        <v>281.95999999999998</v>
      </c>
      <c r="H241">
        <f t="shared" si="3"/>
        <v>-281.95999999999998</v>
      </c>
      <c r="P241" t="s">
        <v>280</v>
      </c>
      <c r="Q241">
        <v>-71</v>
      </c>
    </row>
    <row r="242" spans="1:17" x14ac:dyDescent="0.2">
      <c r="A242" s="13" t="s">
        <v>513</v>
      </c>
      <c r="G242">
        <v>17.95</v>
      </c>
      <c r="H242">
        <f t="shared" si="3"/>
        <v>-17.95</v>
      </c>
      <c r="P242" t="s">
        <v>281</v>
      </c>
      <c r="Q242">
        <v>-54</v>
      </c>
    </row>
    <row r="243" spans="1:17" x14ac:dyDescent="0.2">
      <c r="A243" s="13" t="s">
        <v>514</v>
      </c>
      <c r="G243">
        <v>78.05</v>
      </c>
      <c r="H243">
        <f t="shared" si="3"/>
        <v>-78.05</v>
      </c>
      <c r="P243" t="s">
        <v>282</v>
      </c>
      <c r="Q243">
        <v>-39</v>
      </c>
    </row>
    <row r="244" spans="1:17" x14ac:dyDescent="0.2">
      <c r="A244" s="13" t="s">
        <v>514</v>
      </c>
      <c r="G244">
        <v>391.17</v>
      </c>
      <c r="H244">
        <f t="shared" si="3"/>
        <v>-391.17</v>
      </c>
      <c r="P244" t="s">
        <v>283</v>
      </c>
      <c r="Q244">
        <v>-152</v>
      </c>
    </row>
    <row r="245" spans="1:17" x14ac:dyDescent="0.2">
      <c r="A245" s="13" t="s">
        <v>515</v>
      </c>
      <c r="G245">
        <v>77.900000000000006</v>
      </c>
      <c r="H245">
        <f t="shared" si="3"/>
        <v>-77.900000000000006</v>
      </c>
      <c r="P245" t="s">
        <v>284</v>
      </c>
      <c r="Q245">
        <v>-30</v>
      </c>
    </row>
    <row r="246" spans="1:17" x14ac:dyDescent="0.2">
      <c r="A246" s="13" t="s">
        <v>129</v>
      </c>
      <c r="G246">
        <v>101.61</v>
      </c>
      <c r="H246">
        <f t="shared" si="3"/>
        <v>-101.61</v>
      </c>
      <c r="P246" t="s">
        <v>41</v>
      </c>
      <c r="Q246">
        <v>-567</v>
      </c>
    </row>
    <row r="247" spans="1:17" x14ac:dyDescent="0.2">
      <c r="A247" s="13" t="s">
        <v>129</v>
      </c>
      <c r="G247">
        <v>159.41999999999999</v>
      </c>
      <c r="H247">
        <f t="shared" si="3"/>
        <v>-159.41999999999999</v>
      </c>
      <c r="P247" t="s">
        <v>285</v>
      </c>
      <c r="Q247">
        <v>-469</v>
      </c>
    </row>
    <row r="248" spans="1:17" x14ac:dyDescent="0.2">
      <c r="A248" s="13" t="s">
        <v>120</v>
      </c>
      <c r="G248">
        <v>187.26</v>
      </c>
      <c r="H248">
        <f t="shared" si="3"/>
        <v>-187.26</v>
      </c>
      <c r="P248" t="s">
        <v>286</v>
      </c>
      <c r="Q248">
        <v>-165</v>
      </c>
    </row>
    <row r="249" spans="1:17" x14ac:dyDescent="0.2">
      <c r="A249" s="13" t="s">
        <v>120</v>
      </c>
      <c r="G249">
        <v>127.86</v>
      </c>
      <c r="H249">
        <f t="shared" si="3"/>
        <v>-127.86</v>
      </c>
      <c r="P249" t="s">
        <v>47</v>
      </c>
      <c r="Q249">
        <v>-245</v>
      </c>
    </row>
    <row r="250" spans="1:17" x14ac:dyDescent="0.2">
      <c r="A250" s="13" t="s">
        <v>123</v>
      </c>
      <c r="G250">
        <v>189.9</v>
      </c>
      <c r="H250">
        <f t="shared" si="3"/>
        <v>-189.9</v>
      </c>
      <c r="P250" t="s">
        <v>194</v>
      </c>
      <c r="Q250">
        <v>-505</v>
      </c>
    </row>
    <row r="251" spans="1:17" x14ac:dyDescent="0.2">
      <c r="A251" s="13" t="s">
        <v>123</v>
      </c>
      <c r="G251">
        <v>1172.76</v>
      </c>
      <c r="H251">
        <f t="shared" si="3"/>
        <v>-1172.76</v>
      </c>
      <c r="P251" t="s">
        <v>287</v>
      </c>
      <c r="Q251">
        <v>-121</v>
      </c>
    </row>
    <row r="252" spans="1:17" x14ac:dyDescent="0.2">
      <c r="A252" s="13" t="s">
        <v>123</v>
      </c>
      <c r="G252">
        <v>274.8</v>
      </c>
      <c r="H252">
        <f t="shared" si="3"/>
        <v>-274.8</v>
      </c>
      <c r="P252" t="s">
        <v>288</v>
      </c>
      <c r="Q252">
        <v>-435</v>
      </c>
    </row>
    <row r="253" spans="1:17" x14ac:dyDescent="0.2">
      <c r="A253" s="13" t="s">
        <v>126</v>
      </c>
      <c r="G253">
        <v>1010.6</v>
      </c>
      <c r="H253">
        <f t="shared" si="3"/>
        <v>-1010.6</v>
      </c>
      <c r="P253" t="s">
        <v>38</v>
      </c>
      <c r="Q253">
        <v>-221</v>
      </c>
    </row>
    <row r="254" spans="1:17" x14ac:dyDescent="0.2">
      <c r="A254" s="13" t="s">
        <v>122</v>
      </c>
      <c r="G254">
        <v>360.84</v>
      </c>
      <c r="H254">
        <f t="shared" si="3"/>
        <v>-360.84</v>
      </c>
      <c r="P254" t="s">
        <v>302</v>
      </c>
      <c r="Q254">
        <v>-15</v>
      </c>
    </row>
    <row r="255" spans="1:17" x14ac:dyDescent="0.2">
      <c r="A255" s="13" t="s">
        <v>122</v>
      </c>
      <c r="G255">
        <v>640.49</v>
      </c>
      <c r="H255">
        <f t="shared" si="3"/>
        <v>-640.49</v>
      </c>
      <c r="P255" t="s">
        <v>289</v>
      </c>
      <c r="Q255">
        <v>-177</v>
      </c>
    </row>
    <row r="256" spans="1:17" x14ac:dyDescent="0.2">
      <c r="A256" s="13" t="s">
        <v>122</v>
      </c>
      <c r="G256">
        <v>381.12</v>
      </c>
      <c r="H256">
        <f t="shared" si="3"/>
        <v>-381.12</v>
      </c>
      <c r="P256" t="s">
        <v>195</v>
      </c>
      <c r="Q256">
        <v>-156</v>
      </c>
    </row>
    <row r="257" spans="1:17" x14ac:dyDescent="0.2">
      <c r="A257" s="13" t="s">
        <v>122</v>
      </c>
      <c r="G257">
        <v>122.15</v>
      </c>
      <c r="H257">
        <f t="shared" si="3"/>
        <v>-122.15</v>
      </c>
      <c r="P257" t="s">
        <v>196</v>
      </c>
      <c r="Q257">
        <v>-460</v>
      </c>
    </row>
    <row r="258" spans="1:17" x14ac:dyDescent="0.2">
      <c r="A258" s="13" t="s">
        <v>122</v>
      </c>
      <c r="G258">
        <v>534.27</v>
      </c>
      <c r="H258">
        <f t="shared" si="3"/>
        <v>-534.27</v>
      </c>
      <c r="P258" t="s">
        <v>197</v>
      </c>
      <c r="Q258">
        <v>-268</v>
      </c>
    </row>
    <row r="259" spans="1:17" x14ac:dyDescent="0.2">
      <c r="A259" s="13" t="s">
        <v>124</v>
      </c>
      <c r="G259">
        <v>25.64</v>
      </c>
      <c r="H259">
        <f t="shared" si="3"/>
        <v>-25.64</v>
      </c>
      <c r="P259" t="s">
        <v>198</v>
      </c>
      <c r="Q259">
        <v>-869</v>
      </c>
    </row>
    <row r="260" spans="1:17" x14ac:dyDescent="0.2">
      <c r="A260" s="13" t="s">
        <v>127</v>
      </c>
      <c r="G260">
        <v>35.03</v>
      </c>
      <c r="H260">
        <f t="shared" ref="H260:H293" si="4">G260*-1</f>
        <v>-35.03</v>
      </c>
      <c r="P260" t="s">
        <v>290</v>
      </c>
      <c r="Q260">
        <v>-5</v>
      </c>
    </row>
    <row r="261" spans="1:17" x14ac:dyDescent="0.2">
      <c r="A261" s="13" t="s">
        <v>127</v>
      </c>
      <c r="G261">
        <v>150.16</v>
      </c>
      <c r="H261">
        <f t="shared" si="4"/>
        <v>-150.16</v>
      </c>
      <c r="P261" t="s">
        <v>291</v>
      </c>
      <c r="Q261">
        <v>-68</v>
      </c>
    </row>
    <row r="262" spans="1:17" x14ac:dyDescent="0.2">
      <c r="A262" s="13" t="s">
        <v>127</v>
      </c>
      <c r="G262">
        <v>901.51</v>
      </c>
      <c r="H262">
        <f t="shared" si="4"/>
        <v>-901.51</v>
      </c>
      <c r="P262" t="s">
        <v>292</v>
      </c>
      <c r="Q262">
        <v>-85</v>
      </c>
    </row>
    <row r="263" spans="1:17" x14ac:dyDescent="0.2">
      <c r="A263" s="13" t="s">
        <v>127</v>
      </c>
      <c r="G263">
        <v>121.89</v>
      </c>
      <c r="H263">
        <f t="shared" si="4"/>
        <v>-121.89</v>
      </c>
      <c r="P263" t="s">
        <v>293</v>
      </c>
      <c r="Q263">
        <v>-7</v>
      </c>
    </row>
    <row r="264" spans="1:17" x14ac:dyDescent="0.2">
      <c r="A264" s="13" t="s">
        <v>516</v>
      </c>
      <c r="G264">
        <v>38.9</v>
      </c>
      <c r="H264">
        <f t="shared" si="4"/>
        <v>-38.9</v>
      </c>
      <c r="P264" t="s">
        <v>294</v>
      </c>
      <c r="Q264">
        <v>-8</v>
      </c>
    </row>
    <row r="265" spans="1:17" x14ac:dyDescent="0.2">
      <c r="A265" s="13" t="s">
        <v>128</v>
      </c>
      <c r="G265">
        <v>134.19999999999999</v>
      </c>
      <c r="H265">
        <f t="shared" si="4"/>
        <v>-134.19999999999999</v>
      </c>
      <c r="P265" t="s">
        <v>199</v>
      </c>
      <c r="Q265">
        <v>-406</v>
      </c>
    </row>
    <row r="266" spans="1:17" x14ac:dyDescent="0.2">
      <c r="A266" s="13" t="s">
        <v>128</v>
      </c>
      <c r="G266">
        <v>121.26</v>
      </c>
      <c r="H266">
        <f t="shared" si="4"/>
        <v>-121.26</v>
      </c>
      <c r="P266" t="s">
        <v>295</v>
      </c>
      <c r="Q266">
        <v>-41</v>
      </c>
    </row>
    <row r="267" spans="1:17" x14ac:dyDescent="0.2">
      <c r="A267" s="13" t="s">
        <v>128</v>
      </c>
      <c r="G267">
        <v>212.42</v>
      </c>
      <c r="H267">
        <f t="shared" si="4"/>
        <v>-212.42</v>
      </c>
      <c r="P267" t="s">
        <v>296</v>
      </c>
      <c r="Q267">
        <v>-14</v>
      </c>
    </row>
    <row r="268" spans="1:17" x14ac:dyDescent="0.2">
      <c r="A268" s="13" t="s">
        <v>128</v>
      </c>
      <c r="G268">
        <v>552.29</v>
      </c>
      <c r="H268">
        <f t="shared" si="4"/>
        <v>-552.29</v>
      </c>
      <c r="P268" t="s">
        <v>297</v>
      </c>
      <c r="Q268">
        <v>-3</v>
      </c>
    </row>
    <row r="269" spans="1:17" x14ac:dyDescent="0.2">
      <c r="A269" s="13" t="s">
        <v>128</v>
      </c>
      <c r="G269">
        <v>375.83</v>
      </c>
      <c r="H269">
        <f t="shared" si="4"/>
        <v>-375.83</v>
      </c>
      <c r="P269" t="s">
        <v>298</v>
      </c>
      <c r="Q269">
        <v>-2</v>
      </c>
    </row>
    <row r="270" spans="1:17" x14ac:dyDescent="0.2">
      <c r="A270" s="13" t="s">
        <v>517</v>
      </c>
      <c r="G270">
        <v>137.71</v>
      </c>
      <c r="H270">
        <f t="shared" si="4"/>
        <v>-137.71</v>
      </c>
      <c r="P270" t="s">
        <v>486</v>
      </c>
      <c r="Q270">
        <v>-25.16</v>
      </c>
    </row>
    <row r="271" spans="1:17" x14ac:dyDescent="0.2">
      <c r="A271" s="13" t="s">
        <v>517</v>
      </c>
      <c r="G271">
        <v>623.91</v>
      </c>
      <c r="H271">
        <f t="shared" si="4"/>
        <v>-623.91</v>
      </c>
      <c r="P271" t="s">
        <v>487</v>
      </c>
      <c r="Q271">
        <v>-7.18</v>
      </c>
    </row>
    <row r="272" spans="1:17" x14ac:dyDescent="0.2">
      <c r="A272" s="13" t="s">
        <v>518</v>
      </c>
      <c r="G272">
        <v>831.07</v>
      </c>
      <c r="H272">
        <f t="shared" si="4"/>
        <v>-831.07</v>
      </c>
      <c r="P272" t="s">
        <v>488</v>
      </c>
      <c r="Q272">
        <v>-20.16</v>
      </c>
    </row>
    <row r="273" spans="1:17" x14ac:dyDescent="0.2">
      <c r="A273" s="13" t="s">
        <v>135</v>
      </c>
      <c r="G273">
        <v>106.79</v>
      </c>
      <c r="H273">
        <f t="shared" si="4"/>
        <v>-106.79</v>
      </c>
      <c r="P273" t="s">
        <v>489</v>
      </c>
      <c r="Q273">
        <v>-1289.83</v>
      </c>
    </row>
    <row r="274" spans="1:17" x14ac:dyDescent="0.2">
      <c r="A274" s="13" t="s">
        <v>135</v>
      </c>
      <c r="G274">
        <v>132.08000000000001</v>
      </c>
      <c r="H274">
        <f t="shared" si="4"/>
        <v>-132.08000000000001</v>
      </c>
      <c r="P274" t="s">
        <v>490</v>
      </c>
      <c r="Q274">
        <v>-790.96</v>
      </c>
    </row>
    <row r="275" spans="1:17" x14ac:dyDescent="0.2">
      <c r="A275" s="13" t="s">
        <v>135</v>
      </c>
      <c r="G275">
        <v>137.1</v>
      </c>
      <c r="H275">
        <f t="shared" si="4"/>
        <v>-137.1</v>
      </c>
      <c r="P275" t="s">
        <v>491</v>
      </c>
      <c r="Q275">
        <v>-2051.75</v>
      </c>
    </row>
    <row r="276" spans="1:17" x14ac:dyDescent="0.2">
      <c r="A276" s="13" t="s">
        <v>519</v>
      </c>
      <c r="G276">
        <v>192.6</v>
      </c>
      <c r="H276">
        <f t="shared" si="4"/>
        <v>-192.6</v>
      </c>
      <c r="P276" t="s">
        <v>492</v>
      </c>
      <c r="Q276">
        <v>-70</v>
      </c>
    </row>
    <row r="277" spans="1:17" x14ac:dyDescent="0.2">
      <c r="A277" s="13" t="s">
        <v>132</v>
      </c>
      <c r="G277">
        <v>58.48</v>
      </c>
      <c r="H277">
        <f t="shared" si="4"/>
        <v>-58.48</v>
      </c>
      <c r="P277" t="s">
        <v>493</v>
      </c>
      <c r="Q277">
        <v>-875.03</v>
      </c>
    </row>
    <row r="278" spans="1:17" x14ac:dyDescent="0.2">
      <c r="A278" s="13" t="s">
        <v>132</v>
      </c>
      <c r="G278">
        <v>13.1</v>
      </c>
      <c r="H278">
        <f t="shared" si="4"/>
        <v>-13.1</v>
      </c>
      <c r="P278" t="s">
        <v>494</v>
      </c>
      <c r="Q278">
        <v>-68.260000000000005</v>
      </c>
    </row>
    <row r="279" spans="1:17" x14ac:dyDescent="0.2">
      <c r="A279" s="13" t="s">
        <v>132</v>
      </c>
      <c r="G279">
        <v>174.77</v>
      </c>
      <c r="H279">
        <f t="shared" si="4"/>
        <v>-174.77</v>
      </c>
      <c r="P279" t="s">
        <v>495</v>
      </c>
      <c r="Q279">
        <v>-596</v>
      </c>
    </row>
    <row r="280" spans="1:17" x14ac:dyDescent="0.2">
      <c r="A280" s="13" t="s">
        <v>132</v>
      </c>
      <c r="G280">
        <v>213.3</v>
      </c>
      <c r="H280">
        <f t="shared" si="4"/>
        <v>-213.3</v>
      </c>
      <c r="P280" t="s">
        <v>496</v>
      </c>
      <c r="Q280">
        <v>-166.4</v>
      </c>
    </row>
    <row r="281" spans="1:17" x14ac:dyDescent="0.2">
      <c r="A281" s="13" t="s">
        <v>139</v>
      </c>
      <c r="G281">
        <v>34.049999999999997</v>
      </c>
      <c r="H281">
        <f t="shared" si="4"/>
        <v>-34.049999999999997</v>
      </c>
      <c r="P281" t="s">
        <v>168</v>
      </c>
      <c r="Q281">
        <v>-683.25</v>
      </c>
    </row>
    <row r="282" spans="1:17" x14ac:dyDescent="0.2">
      <c r="A282" s="13" t="s">
        <v>138</v>
      </c>
      <c r="G282">
        <v>367.44</v>
      </c>
      <c r="H282">
        <f t="shared" si="4"/>
        <v>-367.44</v>
      </c>
      <c r="P282" t="s">
        <v>166</v>
      </c>
      <c r="Q282">
        <v>-106.86</v>
      </c>
    </row>
    <row r="283" spans="1:17" x14ac:dyDescent="0.2">
      <c r="A283" s="13" t="s">
        <v>520</v>
      </c>
      <c r="G283">
        <v>21.87</v>
      </c>
      <c r="H283">
        <f t="shared" si="4"/>
        <v>-21.87</v>
      </c>
      <c r="P283" t="s">
        <v>170</v>
      </c>
      <c r="Q283">
        <v>-1225.19</v>
      </c>
    </row>
    <row r="284" spans="1:17" x14ac:dyDescent="0.2">
      <c r="A284" s="13" t="s">
        <v>134</v>
      </c>
      <c r="G284">
        <v>81.75</v>
      </c>
      <c r="H284">
        <f t="shared" si="4"/>
        <v>-81.75</v>
      </c>
      <c r="P284" t="s">
        <v>169</v>
      </c>
      <c r="Q284">
        <v>-208.86</v>
      </c>
    </row>
    <row r="285" spans="1:17" x14ac:dyDescent="0.2">
      <c r="A285" s="13" t="s">
        <v>134</v>
      </c>
      <c r="G285">
        <v>109.8</v>
      </c>
      <c r="H285">
        <f t="shared" si="4"/>
        <v>-109.8</v>
      </c>
      <c r="P285" t="s">
        <v>497</v>
      </c>
      <c r="Q285">
        <v>-386.49</v>
      </c>
    </row>
    <row r="286" spans="1:17" x14ac:dyDescent="0.2">
      <c r="A286" s="13" t="s">
        <v>134</v>
      </c>
      <c r="G286">
        <v>87.14</v>
      </c>
      <c r="H286">
        <f t="shared" si="4"/>
        <v>-87.14</v>
      </c>
      <c r="P286" t="s">
        <v>498</v>
      </c>
      <c r="Q286">
        <v>-186.61</v>
      </c>
    </row>
    <row r="287" spans="1:17" x14ac:dyDescent="0.2">
      <c r="A287" s="13" t="s">
        <v>137</v>
      </c>
      <c r="G287">
        <v>261.5</v>
      </c>
      <c r="H287">
        <f t="shared" si="4"/>
        <v>-261.5</v>
      </c>
      <c r="P287" t="s">
        <v>164</v>
      </c>
      <c r="Q287">
        <v>-280.32</v>
      </c>
    </row>
    <row r="288" spans="1:17" x14ac:dyDescent="0.2">
      <c r="A288" s="13" t="s">
        <v>521</v>
      </c>
      <c r="G288">
        <v>177.83</v>
      </c>
      <c r="H288">
        <f t="shared" si="4"/>
        <v>-177.83</v>
      </c>
      <c r="P288" t="s">
        <v>171</v>
      </c>
      <c r="Q288">
        <v>-1166.3599999999999</v>
      </c>
    </row>
    <row r="289" spans="1:17" x14ac:dyDescent="0.2">
      <c r="A289" s="13" t="s">
        <v>522</v>
      </c>
      <c r="G289">
        <v>2603.8200000000002</v>
      </c>
      <c r="H289">
        <f t="shared" si="4"/>
        <v>-2603.8200000000002</v>
      </c>
      <c r="P289" t="s">
        <v>499</v>
      </c>
      <c r="Q289">
        <v>-6.64</v>
      </c>
    </row>
    <row r="290" spans="1:17" x14ac:dyDescent="0.2">
      <c r="A290" s="13" t="s">
        <v>523</v>
      </c>
      <c r="G290">
        <v>364.52</v>
      </c>
      <c r="H290">
        <f t="shared" si="4"/>
        <v>-364.52</v>
      </c>
      <c r="P290" t="s">
        <v>500</v>
      </c>
      <c r="Q290">
        <v>-12.15</v>
      </c>
    </row>
    <row r="291" spans="1:17" x14ac:dyDescent="0.2">
      <c r="A291" s="13" t="s">
        <v>524</v>
      </c>
      <c r="G291">
        <v>228.8</v>
      </c>
      <c r="H291">
        <f t="shared" si="4"/>
        <v>-228.8</v>
      </c>
      <c r="P291" t="s">
        <v>501</v>
      </c>
      <c r="Q291">
        <v>-162.00800000000001</v>
      </c>
    </row>
    <row r="292" spans="1:17" x14ac:dyDescent="0.2">
      <c r="A292" s="13" t="s">
        <v>525</v>
      </c>
      <c r="G292">
        <v>18.850000000000001</v>
      </c>
      <c r="H292">
        <f t="shared" si="4"/>
        <v>-18.850000000000001</v>
      </c>
      <c r="P292" t="s">
        <v>502</v>
      </c>
      <c r="Q292">
        <v>-56.27</v>
      </c>
    </row>
    <row r="293" spans="1:17" x14ac:dyDescent="0.2">
      <c r="A293" s="13" t="s">
        <v>526</v>
      </c>
      <c r="G293">
        <v>571.58000000000004</v>
      </c>
      <c r="H293">
        <f t="shared" si="4"/>
        <v>-571.58000000000004</v>
      </c>
      <c r="P293" t="s">
        <v>503</v>
      </c>
      <c r="Q293">
        <v>-1129.8</v>
      </c>
    </row>
    <row r="294" spans="1:17" x14ac:dyDescent="0.2">
      <c r="P294" t="s">
        <v>504</v>
      </c>
      <c r="Q294">
        <v>-69.22</v>
      </c>
    </row>
    <row r="295" spans="1:17" x14ac:dyDescent="0.2">
      <c r="P295" t="s">
        <v>505</v>
      </c>
      <c r="Q295">
        <v>-28.71</v>
      </c>
    </row>
    <row r="296" spans="1:17" x14ac:dyDescent="0.2">
      <c r="P296" t="s">
        <v>506</v>
      </c>
      <c r="Q296">
        <v>-1375.11</v>
      </c>
    </row>
    <row r="297" spans="1:17" x14ac:dyDescent="0.2">
      <c r="P297" t="s">
        <v>507</v>
      </c>
      <c r="Q297">
        <v>-170.69</v>
      </c>
    </row>
    <row r="298" spans="1:17" x14ac:dyDescent="0.2">
      <c r="P298" t="s">
        <v>508</v>
      </c>
      <c r="Q298">
        <v>-35.83</v>
      </c>
    </row>
    <row r="299" spans="1:17" x14ac:dyDescent="0.2">
      <c r="P299" t="s">
        <v>509</v>
      </c>
      <c r="Q299">
        <v>-96.24</v>
      </c>
    </row>
    <row r="300" spans="1:17" x14ac:dyDescent="0.2">
      <c r="P300" t="s">
        <v>510</v>
      </c>
      <c r="Q300">
        <v>-185.45999999999998</v>
      </c>
    </row>
    <row r="301" spans="1:17" x14ac:dyDescent="0.2">
      <c r="P301" t="s">
        <v>141</v>
      </c>
      <c r="Q301">
        <v>-257.97000000000003</v>
      </c>
    </row>
    <row r="302" spans="1:17" x14ac:dyDescent="0.2">
      <c r="P302" t="s">
        <v>143</v>
      </c>
      <c r="Q302">
        <v>-168.05</v>
      </c>
    </row>
    <row r="303" spans="1:17" x14ac:dyDescent="0.2">
      <c r="P303" t="s">
        <v>511</v>
      </c>
      <c r="Q303">
        <v>-317.56</v>
      </c>
    </row>
    <row r="304" spans="1:17" x14ac:dyDescent="0.2">
      <c r="P304" t="s">
        <v>153</v>
      </c>
      <c r="Q304">
        <v>-400.09</v>
      </c>
    </row>
    <row r="305" spans="16:17" x14ac:dyDescent="0.2">
      <c r="P305" t="s">
        <v>154</v>
      </c>
      <c r="Q305">
        <v>-533.53</v>
      </c>
    </row>
    <row r="306" spans="16:17" x14ac:dyDescent="0.2">
      <c r="P306" t="s">
        <v>147</v>
      </c>
      <c r="Q306">
        <v>-870.95</v>
      </c>
    </row>
    <row r="307" spans="16:17" x14ac:dyDescent="0.2">
      <c r="P307" t="s">
        <v>152</v>
      </c>
      <c r="Q307">
        <v>-286.48</v>
      </c>
    </row>
    <row r="308" spans="16:17" x14ac:dyDescent="0.2">
      <c r="P308" t="s">
        <v>182</v>
      </c>
      <c r="Q308">
        <v>-63.41</v>
      </c>
    </row>
    <row r="309" spans="16:17" x14ac:dyDescent="0.2">
      <c r="P309" t="s">
        <v>151</v>
      </c>
      <c r="Q309">
        <v>-1469.7599999999998</v>
      </c>
    </row>
    <row r="310" spans="16:17" x14ac:dyDescent="0.2">
      <c r="P310" t="s">
        <v>149</v>
      </c>
      <c r="Q310">
        <v>-344.03999999999996</v>
      </c>
    </row>
    <row r="311" spans="16:17" x14ac:dyDescent="0.2">
      <c r="P311" t="s">
        <v>140</v>
      </c>
      <c r="Q311">
        <v>-1538.19</v>
      </c>
    </row>
    <row r="312" spans="16:17" x14ac:dyDescent="0.2">
      <c r="P312" t="s">
        <v>155</v>
      </c>
      <c r="Q312">
        <v>-946.95</v>
      </c>
    </row>
    <row r="313" spans="16:17" x14ac:dyDescent="0.2">
      <c r="P313" t="s">
        <v>159</v>
      </c>
      <c r="Q313">
        <v>-253.62</v>
      </c>
    </row>
    <row r="314" spans="16:17" x14ac:dyDescent="0.2">
      <c r="P314" t="s">
        <v>157</v>
      </c>
      <c r="Q314">
        <v>-1095.82</v>
      </c>
    </row>
    <row r="315" spans="16:17" x14ac:dyDescent="0.2">
      <c r="P315" t="s">
        <v>184</v>
      </c>
      <c r="Q315">
        <v>-206.54</v>
      </c>
    </row>
    <row r="316" spans="16:17" x14ac:dyDescent="0.2">
      <c r="P316" t="s">
        <v>512</v>
      </c>
      <c r="Q316">
        <v>-11.65</v>
      </c>
    </row>
    <row r="317" spans="16:17" x14ac:dyDescent="0.2">
      <c r="P317" t="s">
        <v>161</v>
      </c>
      <c r="Q317">
        <v>-437.78</v>
      </c>
    </row>
    <row r="318" spans="16:17" x14ac:dyDescent="0.2">
      <c r="P318" t="s">
        <v>158</v>
      </c>
      <c r="Q318">
        <v>-1468.4</v>
      </c>
    </row>
    <row r="319" spans="16:17" x14ac:dyDescent="0.2">
      <c r="P319" t="s">
        <v>163</v>
      </c>
      <c r="Q319">
        <v>-408.08</v>
      </c>
    </row>
    <row r="320" spans="16:17" x14ac:dyDescent="0.2">
      <c r="P320" t="s">
        <v>513</v>
      </c>
      <c r="Q320">
        <v>-17.95</v>
      </c>
    </row>
    <row r="321" spans="16:17" x14ac:dyDescent="0.2">
      <c r="P321" t="s">
        <v>514</v>
      </c>
      <c r="Q321">
        <v>-469.22</v>
      </c>
    </row>
    <row r="322" spans="16:17" x14ac:dyDescent="0.2">
      <c r="P322" t="s">
        <v>515</v>
      </c>
      <c r="Q322">
        <v>-77.900000000000006</v>
      </c>
    </row>
    <row r="323" spans="16:17" x14ac:dyDescent="0.2">
      <c r="P323" t="s">
        <v>129</v>
      </c>
      <c r="Q323">
        <v>-261.02999999999997</v>
      </c>
    </row>
    <row r="324" spans="16:17" x14ac:dyDescent="0.2">
      <c r="P324" t="s">
        <v>120</v>
      </c>
      <c r="Q324">
        <v>-315.12</v>
      </c>
    </row>
    <row r="325" spans="16:17" x14ac:dyDescent="0.2">
      <c r="P325" t="s">
        <v>123</v>
      </c>
      <c r="Q325">
        <v>-1637.46</v>
      </c>
    </row>
    <row r="326" spans="16:17" x14ac:dyDescent="0.2">
      <c r="P326" t="s">
        <v>126</v>
      </c>
      <c r="Q326">
        <v>-1010.6</v>
      </c>
    </row>
    <row r="327" spans="16:17" x14ac:dyDescent="0.2">
      <c r="P327" t="s">
        <v>122</v>
      </c>
      <c r="Q327">
        <v>-2038.87</v>
      </c>
    </row>
    <row r="328" spans="16:17" x14ac:dyDescent="0.2">
      <c r="P328" t="s">
        <v>124</v>
      </c>
      <c r="Q328">
        <v>-25.64</v>
      </c>
    </row>
    <row r="329" spans="16:17" x14ac:dyDescent="0.2">
      <c r="P329" t="s">
        <v>127</v>
      </c>
      <c r="Q329">
        <v>-1208.5900000000001</v>
      </c>
    </row>
    <row r="330" spans="16:17" x14ac:dyDescent="0.2">
      <c r="P330" t="s">
        <v>516</v>
      </c>
      <c r="Q330">
        <v>-38.9</v>
      </c>
    </row>
    <row r="331" spans="16:17" x14ac:dyDescent="0.2">
      <c r="P331" t="s">
        <v>128</v>
      </c>
      <c r="Q331">
        <v>-1396</v>
      </c>
    </row>
    <row r="332" spans="16:17" x14ac:dyDescent="0.2">
      <c r="P332" t="s">
        <v>517</v>
      </c>
      <c r="Q332">
        <v>-761.62</v>
      </c>
    </row>
    <row r="333" spans="16:17" x14ac:dyDescent="0.2">
      <c r="P333" t="s">
        <v>518</v>
      </c>
      <c r="Q333">
        <v>-831.07</v>
      </c>
    </row>
    <row r="334" spans="16:17" x14ac:dyDescent="0.2">
      <c r="P334" t="s">
        <v>135</v>
      </c>
      <c r="Q334">
        <v>-375.97</v>
      </c>
    </row>
    <row r="335" spans="16:17" x14ac:dyDescent="0.2">
      <c r="P335" t="s">
        <v>519</v>
      </c>
      <c r="Q335">
        <v>-192.6</v>
      </c>
    </row>
    <row r="336" spans="16:17" x14ac:dyDescent="0.2">
      <c r="P336" t="s">
        <v>132</v>
      </c>
      <c r="Q336">
        <v>-459.65000000000003</v>
      </c>
    </row>
    <row r="337" spans="16:17" x14ac:dyDescent="0.2">
      <c r="P337" t="s">
        <v>139</v>
      </c>
      <c r="Q337">
        <v>-34.049999999999997</v>
      </c>
    </row>
    <row r="338" spans="16:17" x14ac:dyDescent="0.2">
      <c r="P338" t="s">
        <v>138</v>
      </c>
      <c r="Q338">
        <v>-367.44</v>
      </c>
    </row>
    <row r="339" spans="16:17" x14ac:dyDescent="0.2">
      <c r="P339" t="s">
        <v>520</v>
      </c>
      <c r="Q339">
        <v>-21.87</v>
      </c>
    </row>
    <row r="340" spans="16:17" x14ac:dyDescent="0.2">
      <c r="P340" t="s">
        <v>134</v>
      </c>
      <c r="Q340">
        <v>-278.69</v>
      </c>
    </row>
    <row r="341" spans="16:17" x14ac:dyDescent="0.2">
      <c r="P341" t="s">
        <v>137</v>
      </c>
      <c r="Q341">
        <v>-261.5</v>
      </c>
    </row>
    <row r="342" spans="16:17" x14ac:dyDescent="0.2">
      <c r="P342" t="s">
        <v>521</v>
      </c>
      <c r="Q342">
        <v>-177.83</v>
      </c>
    </row>
    <row r="343" spans="16:17" x14ac:dyDescent="0.2">
      <c r="P343" t="s">
        <v>522</v>
      </c>
      <c r="Q343">
        <v>-2603.8200000000002</v>
      </c>
    </row>
    <row r="344" spans="16:17" x14ac:dyDescent="0.2">
      <c r="P344" t="s">
        <v>523</v>
      </c>
      <c r="Q344">
        <v>-364.52</v>
      </c>
    </row>
    <row r="345" spans="16:17" x14ac:dyDescent="0.2">
      <c r="P345" t="s">
        <v>524</v>
      </c>
      <c r="Q345">
        <v>-228.8</v>
      </c>
    </row>
    <row r="346" spans="16:17" x14ac:dyDescent="0.2">
      <c r="P346" t="s">
        <v>525</v>
      </c>
      <c r="Q346">
        <v>-18.850000000000001</v>
      </c>
    </row>
    <row r="347" spans="16:17" x14ac:dyDescent="0.2">
      <c r="P347" t="s">
        <v>526</v>
      </c>
      <c r="Q347">
        <v>-571.58000000000004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52"/>
  <sheetViews>
    <sheetView zoomScale="120" zoomScaleNormal="120" workbookViewId="0">
      <selection activeCell="C45" sqref="C45"/>
    </sheetView>
  </sheetViews>
  <sheetFormatPr defaultColWidth="9" defaultRowHeight="12" x14ac:dyDescent="0.2"/>
  <cols>
    <col min="1" max="1" width="14.625" style="2" customWidth="1"/>
    <col min="2" max="2" width="8.5" style="2" customWidth="1"/>
    <col min="3" max="3" width="15.75" style="2" customWidth="1"/>
    <col min="4" max="4" width="15.5" style="2" customWidth="1"/>
    <col min="5" max="5" width="6.75" style="2" customWidth="1"/>
    <col min="6" max="9" width="9" style="2"/>
    <col min="10" max="13" width="9" style="23"/>
    <col min="14" max="16384" width="9" style="2"/>
  </cols>
  <sheetData>
    <row r="1" spans="1:13" s="1" customFormat="1" x14ac:dyDescent="0.2">
      <c r="A1" s="3" t="s">
        <v>118</v>
      </c>
      <c r="B1" s="3" t="s">
        <v>119</v>
      </c>
      <c r="C1" s="3" t="s">
        <v>2</v>
      </c>
      <c r="D1" s="3" t="s">
        <v>3</v>
      </c>
      <c r="E1" s="3" t="s">
        <v>4</v>
      </c>
      <c r="J1" s="22"/>
      <c r="K1" s="22"/>
      <c r="L1" s="22"/>
      <c r="M1" s="22"/>
    </row>
    <row r="2" spans="1:13" x14ac:dyDescent="0.2">
      <c r="A2" s="4" t="s">
        <v>120</v>
      </c>
      <c r="B2" s="5">
        <v>207.77</v>
      </c>
      <c r="C2" s="6" t="s">
        <v>6</v>
      </c>
      <c r="D2" s="4"/>
      <c r="E2" s="4" t="s">
        <v>121</v>
      </c>
      <c r="F2" s="2" t="str">
        <f>VLOOKUP(A2,$J:$M,2,FALSE)</f>
        <v>天然木皮 白橡山纹 2800mm R 3色号</v>
      </c>
      <c r="G2" s="2" t="str">
        <f>VLOOKUP(A2,$J:$M,3,FALSE)</f>
        <v>2800mm</v>
      </c>
      <c r="H2" s="2" t="str">
        <f>VLOOKUP(A2,$J:$M,4,FALSE)</f>
        <v>平方米</v>
      </c>
      <c r="J2" s="23" t="s">
        <v>186</v>
      </c>
      <c r="K2" s="23" t="s">
        <v>550</v>
      </c>
      <c r="L2" s="23" t="s">
        <v>551</v>
      </c>
      <c r="M2" s="23" t="s">
        <v>552</v>
      </c>
    </row>
    <row r="3" spans="1:13" x14ac:dyDescent="0.2">
      <c r="A3" s="4" t="s">
        <v>122</v>
      </c>
      <c r="B3" s="5">
        <v>71.41</v>
      </c>
      <c r="C3" s="6" t="s">
        <v>6</v>
      </c>
      <c r="D3" s="4"/>
      <c r="E3" s="4" t="s">
        <v>121</v>
      </c>
      <c r="F3" s="2" t="str">
        <f t="shared" ref="F3:F66" si="0">VLOOKUP(A3,$J:$M,2,FALSE)</f>
        <v>天然木皮 白橡山纹 2800mm Y 1色号</v>
      </c>
      <c r="G3" s="2" t="str">
        <f t="shared" ref="G3:G66" si="1">VLOOKUP(A3,$J:$M,3,FALSE)</f>
        <v>2800mm</v>
      </c>
      <c r="H3" s="2" t="str">
        <f t="shared" ref="H3:H66" si="2">VLOOKUP(A3,$J:$M,4,FALSE)</f>
        <v>平方米</v>
      </c>
      <c r="J3" s="23" t="s">
        <v>553</v>
      </c>
      <c r="K3" s="23" t="s">
        <v>554</v>
      </c>
      <c r="L3" s="23" t="s">
        <v>555</v>
      </c>
      <c r="M3" s="23" t="s">
        <v>556</v>
      </c>
    </row>
    <row r="4" spans="1:13" x14ac:dyDescent="0.2">
      <c r="A4" s="4" t="s">
        <v>123</v>
      </c>
      <c r="B4" s="5">
        <v>294.14999999999998</v>
      </c>
      <c r="C4" s="6" t="s">
        <v>6</v>
      </c>
      <c r="D4" s="4"/>
      <c r="E4" s="4" t="s">
        <v>121</v>
      </c>
      <c r="F4" s="2" t="str">
        <f t="shared" si="0"/>
        <v>天然木皮 白橡山纹 2800mm R5色号</v>
      </c>
      <c r="G4" s="2" t="str">
        <f t="shared" si="1"/>
        <v>2800mm</v>
      </c>
      <c r="H4" s="2" t="str">
        <f t="shared" si="2"/>
        <v>平方米</v>
      </c>
      <c r="J4" s="23" t="s">
        <v>486</v>
      </c>
      <c r="K4" s="23" t="s">
        <v>557</v>
      </c>
      <c r="L4" s="23" t="s">
        <v>555</v>
      </c>
      <c r="M4" s="23" t="s">
        <v>556</v>
      </c>
    </row>
    <row r="5" spans="1:13" x14ac:dyDescent="0.2">
      <c r="A5" s="4" t="s">
        <v>124</v>
      </c>
      <c r="B5" s="5">
        <v>29.14</v>
      </c>
      <c r="C5" s="6" t="s">
        <v>6</v>
      </c>
      <c r="D5" s="4"/>
      <c r="E5" s="4" t="s">
        <v>121</v>
      </c>
      <c r="F5" s="2" t="str">
        <f t="shared" si="0"/>
        <v>天然木皮  白橡山纹  2800mm Y3色号</v>
      </c>
      <c r="G5" s="2" t="str">
        <f t="shared" si="1"/>
        <v>2800mm</v>
      </c>
      <c r="H5" s="2" t="str">
        <f t="shared" si="2"/>
        <v>平方米</v>
      </c>
      <c r="J5" s="23" t="s">
        <v>558</v>
      </c>
      <c r="K5" s="23" t="s">
        <v>559</v>
      </c>
      <c r="L5" s="23" t="s">
        <v>560</v>
      </c>
      <c r="M5" s="23" t="s">
        <v>556</v>
      </c>
    </row>
    <row r="6" spans="1:13" x14ac:dyDescent="0.2">
      <c r="A6" s="4" t="s">
        <v>123</v>
      </c>
      <c r="B6" s="5">
        <v>980.76</v>
      </c>
      <c r="C6" s="6" t="s">
        <v>6</v>
      </c>
      <c r="D6" s="4"/>
      <c r="E6" s="4" t="s">
        <v>121</v>
      </c>
      <c r="F6" s="2" t="str">
        <f t="shared" si="0"/>
        <v>天然木皮 白橡山纹 2800mm R5色号</v>
      </c>
      <c r="G6" s="2" t="str">
        <f t="shared" si="1"/>
        <v>2800mm</v>
      </c>
      <c r="H6" s="2" t="str">
        <f t="shared" si="2"/>
        <v>平方米</v>
      </c>
      <c r="J6" s="23" t="s">
        <v>561</v>
      </c>
      <c r="K6" s="23" t="s">
        <v>559</v>
      </c>
      <c r="L6" s="23" t="s">
        <v>560</v>
      </c>
      <c r="M6" s="23" t="s">
        <v>556</v>
      </c>
    </row>
    <row r="7" spans="1:13" x14ac:dyDescent="0.2">
      <c r="A7" s="4" t="s">
        <v>123</v>
      </c>
      <c r="B7" s="5">
        <v>119.02</v>
      </c>
      <c r="C7" s="6" t="s">
        <v>6</v>
      </c>
      <c r="D7" s="4"/>
      <c r="E7" s="4" t="s">
        <v>121</v>
      </c>
      <c r="F7" s="2" t="str">
        <f t="shared" si="0"/>
        <v>天然木皮 白橡山纹 2800mm R5色号</v>
      </c>
      <c r="G7" s="2" t="str">
        <f t="shared" si="1"/>
        <v>2800mm</v>
      </c>
      <c r="H7" s="2" t="str">
        <f t="shared" si="2"/>
        <v>平方米</v>
      </c>
      <c r="J7" s="23" t="s">
        <v>562</v>
      </c>
      <c r="K7" s="23" t="s">
        <v>559</v>
      </c>
      <c r="L7" s="23" t="s">
        <v>560</v>
      </c>
      <c r="M7" s="23" t="s">
        <v>556</v>
      </c>
    </row>
    <row r="8" spans="1:13" x14ac:dyDescent="0.2">
      <c r="A8" s="4" t="s">
        <v>125</v>
      </c>
      <c r="B8" s="5">
        <v>1664.8</v>
      </c>
      <c r="C8" s="6" t="s">
        <v>6</v>
      </c>
      <c r="D8" s="4"/>
      <c r="E8" s="4" t="s">
        <v>121</v>
      </c>
      <c r="F8" s="2" t="str">
        <f t="shared" si="0"/>
        <v>天然木皮 白橡山纹 2800mm R 7色号</v>
      </c>
      <c r="G8" s="2" t="str">
        <f t="shared" si="1"/>
        <v>2800mm</v>
      </c>
      <c r="H8" s="2" t="str">
        <f t="shared" si="2"/>
        <v>平方米</v>
      </c>
      <c r="J8" s="23" t="s">
        <v>563</v>
      </c>
      <c r="K8" s="23" t="s">
        <v>559</v>
      </c>
      <c r="L8" s="23" t="s">
        <v>560</v>
      </c>
      <c r="M8" s="23" t="s">
        <v>556</v>
      </c>
    </row>
    <row r="9" spans="1:13" x14ac:dyDescent="0.2">
      <c r="A9" s="4" t="s">
        <v>126</v>
      </c>
      <c r="B9" s="5">
        <v>415.28</v>
      </c>
      <c r="C9" s="6" t="s">
        <v>6</v>
      </c>
      <c r="D9" s="4"/>
      <c r="E9" s="4" t="s">
        <v>121</v>
      </c>
      <c r="F9" s="2" t="str">
        <f t="shared" si="0"/>
        <v>天然木皮 白橡山纹 2800mm R9色号</v>
      </c>
      <c r="G9" s="2" t="str">
        <f t="shared" si="1"/>
        <v>2800mm</v>
      </c>
      <c r="H9" s="2" t="str">
        <f t="shared" si="2"/>
        <v>张</v>
      </c>
      <c r="J9" s="23" t="s">
        <v>564</v>
      </c>
      <c r="K9" s="23" t="s">
        <v>565</v>
      </c>
      <c r="L9" s="23" t="s">
        <v>560</v>
      </c>
      <c r="M9" s="23" t="s">
        <v>556</v>
      </c>
    </row>
    <row r="10" spans="1:13" x14ac:dyDescent="0.2">
      <c r="A10" s="4" t="s">
        <v>127</v>
      </c>
      <c r="B10" s="5">
        <v>705.48</v>
      </c>
      <c r="C10" s="6" t="s">
        <v>6</v>
      </c>
      <c r="D10" s="4"/>
      <c r="E10" s="4" t="s">
        <v>121</v>
      </c>
      <c r="F10" s="2" t="str">
        <f t="shared" si="0"/>
        <v>天然木皮 白橡山纹 2800mm Y 5色号</v>
      </c>
      <c r="G10" s="2" t="str">
        <f t="shared" si="1"/>
        <v>2800mm</v>
      </c>
      <c r="H10" s="2" t="str">
        <f t="shared" si="2"/>
        <v>平方米</v>
      </c>
      <c r="J10" s="23" t="s">
        <v>566</v>
      </c>
      <c r="K10" s="23" t="s">
        <v>565</v>
      </c>
      <c r="L10" s="23" t="s">
        <v>560</v>
      </c>
      <c r="M10" s="23" t="s">
        <v>556</v>
      </c>
    </row>
    <row r="11" spans="1:13" x14ac:dyDescent="0.2">
      <c r="A11" s="4" t="s">
        <v>120</v>
      </c>
      <c r="B11" s="5">
        <v>106.45</v>
      </c>
      <c r="C11" s="6" t="s">
        <v>6</v>
      </c>
      <c r="D11" s="4"/>
      <c r="E11" s="4" t="s">
        <v>121</v>
      </c>
      <c r="F11" s="2" t="str">
        <f t="shared" si="0"/>
        <v>天然木皮 白橡山纹 2800mm R 3色号</v>
      </c>
      <c r="G11" s="2" t="str">
        <f t="shared" si="1"/>
        <v>2800mm</v>
      </c>
      <c r="H11" s="2" t="str">
        <f t="shared" si="2"/>
        <v>平方米</v>
      </c>
      <c r="J11" s="23" t="s">
        <v>567</v>
      </c>
      <c r="K11" s="23" t="s">
        <v>565</v>
      </c>
      <c r="L11" s="23" t="s">
        <v>560</v>
      </c>
      <c r="M11" s="23" t="s">
        <v>556</v>
      </c>
    </row>
    <row r="12" spans="1:13" x14ac:dyDescent="0.2">
      <c r="A12" s="4" t="s">
        <v>126</v>
      </c>
      <c r="B12" s="5">
        <v>871.93</v>
      </c>
      <c r="C12" s="6" t="s">
        <v>6</v>
      </c>
      <c r="D12" s="4"/>
      <c r="E12" s="4" t="s">
        <v>121</v>
      </c>
      <c r="F12" s="2" t="str">
        <f t="shared" si="0"/>
        <v>天然木皮 白橡山纹 2800mm R9色号</v>
      </c>
      <c r="G12" s="2" t="str">
        <f t="shared" si="1"/>
        <v>2800mm</v>
      </c>
      <c r="H12" s="2" t="str">
        <f t="shared" si="2"/>
        <v>张</v>
      </c>
      <c r="J12" s="23" t="s">
        <v>568</v>
      </c>
      <c r="K12" s="23" t="s">
        <v>565</v>
      </c>
      <c r="L12" s="23" t="s">
        <v>560</v>
      </c>
      <c r="M12" s="23" t="s">
        <v>556</v>
      </c>
    </row>
    <row r="13" spans="1:13" x14ac:dyDescent="0.2">
      <c r="A13" s="4" t="s">
        <v>120</v>
      </c>
      <c r="B13" s="5">
        <v>677.49</v>
      </c>
      <c r="C13" s="6" t="s">
        <v>6</v>
      </c>
      <c r="D13" s="4"/>
      <c r="E13" s="4" t="s">
        <v>121</v>
      </c>
      <c r="F13" s="2" t="str">
        <f t="shared" si="0"/>
        <v>天然木皮 白橡山纹 2800mm R 3色号</v>
      </c>
      <c r="G13" s="2" t="str">
        <f t="shared" si="1"/>
        <v>2800mm</v>
      </c>
      <c r="H13" s="2" t="str">
        <f t="shared" si="2"/>
        <v>平方米</v>
      </c>
      <c r="J13" s="23" t="s">
        <v>569</v>
      </c>
      <c r="K13" s="23" t="s">
        <v>570</v>
      </c>
      <c r="L13" s="23" t="s">
        <v>560</v>
      </c>
      <c r="M13" s="23" t="s">
        <v>556</v>
      </c>
    </row>
    <row r="14" spans="1:13" x14ac:dyDescent="0.2">
      <c r="A14" s="4" t="s">
        <v>123</v>
      </c>
      <c r="B14" s="5">
        <v>1711.61</v>
      </c>
      <c r="C14" s="6" t="s">
        <v>6</v>
      </c>
      <c r="D14" s="4"/>
      <c r="E14" s="4" t="s">
        <v>121</v>
      </c>
      <c r="F14" s="2" t="str">
        <f t="shared" si="0"/>
        <v>天然木皮 白橡山纹 2800mm R5色号</v>
      </c>
      <c r="G14" s="2" t="str">
        <f t="shared" si="1"/>
        <v>2800mm</v>
      </c>
      <c r="H14" s="2" t="str">
        <f t="shared" si="2"/>
        <v>平方米</v>
      </c>
      <c r="J14" s="23" t="s">
        <v>571</v>
      </c>
      <c r="K14" s="23" t="s">
        <v>570</v>
      </c>
      <c r="L14" s="23" t="s">
        <v>560</v>
      </c>
      <c r="M14" s="23" t="s">
        <v>556</v>
      </c>
    </row>
    <row r="15" spans="1:13" x14ac:dyDescent="0.2">
      <c r="A15" s="4" t="s">
        <v>128</v>
      </c>
      <c r="B15" s="5">
        <v>840.33</v>
      </c>
      <c r="C15" s="6" t="s">
        <v>6</v>
      </c>
      <c r="D15" s="4"/>
      <c r="E15" s="4" t="s">
        <v>121</v>
      </c>
      <c r="F15" s="2" t="str">
        <f t="shared" si="0"/>
        <v>天然木皮 白橡山纹 2800mm Y7色号</v>
      </c>
      <c r="G15" s="2" t="str">
        <f t="shared" si="1"/>
        <v>2800mm</v>
      </c>
      <c r="H15" s="2" t="str">
        <f t="shared" si="2"/>
        <v>平方米</v>
      </c>
      <c r="J15" s="23" t="s">
        <v>572</v>
      </c>
      <c r="K15" s="23" t="s">
        <v>570</v>
      </c>
      <c r="L15" s="23" t="s">
        <v>560</v>
      </c>
      <c r="M15" s="23" t="s">
        <v>556</v>
      </c>
    </row>
    <row r="16" spans="1:13" x14ac:dyDescent="0.2">
      <c r="A16" s="4" t="s">
        <v>129</v>
      </c>
      <c r="B16" s="5">
        <v>375.83</v>
      </c>
      <c r="C16" s="6" t="s">
        <v>6</v>
      </c>
      <c r="D16" s="4"/>
      <c r="E16" s="4" t="s">
        <v>121</v>
      </c>
      <c r="F16" s="2" t="str">
        <f t="shared" si="0"/>
        <v>天然木皮  白橡山纹  G9 色号 2800mm</v>
      </c>
      <c r="G16" s="2" t="str">
        <f t="shared" si="1"/>
        <v>2800mm</v>
      </c>
      <c r="H16" s="2" t="str">
        <f t="shared" si="2"/>
        <v>平方米</v>
      </c>
      <c r="J16" s="23" t="s">
        <v>573</v>
      </c>
      <c r="K16" s="23" t="s">
        <v>570</v>
      </c>
      <c r="L16" s="23" t="s">
        <v>560</v>
      </c>
      <c r="M16" s="23" t="s">
        <v>556</v>
      </c>
    </row>
    <row r="17" spans="1:13" x14ac:dyDescent="0.2">
      <c r="A17" s="4" t="s">
        <v>130</v>
      </c>
      <c r="B17" s="5">
        <v>115.72</v>
      </c>
      <c r="C17" s="6" t="s">
        <v>6</v>
      </c>
      <c r="D17" s="4"/>
      <c r="E17" s="4" t="s">
        <v>121</v>
      </c>
      <c r="F17" s="2" t="str">
        <f t="shared" si="0"/>
        <v>天然木皮  白橡山纹  2800mm R1色号</v>
      </c>
      <c r="G17" s="2" t="str">
        <f t="shared" si="1"/>
        <v>2800mm</v>
      </c>
      <c r="H17" s="2" t="str">
        <f t="shared" si="2"/>
        <v>平方米</v>
      </c>
      <c r="J17" s="23" t="s">
        <v>574</v>
      </c>
      <c r="K17" s="23" t="s">
        <v>575</v>
      </c>
      <c r="L17" s="23" t="s">
        <v>560</v>
      </c>
      <c r="M17" s="23" t="s">
        <v>556</v>
      </c>
    </row>
    <row r="18" spans="1:13" x14ac:dyDescent="0.2">
      <c r="A18" s="4" t="s">
        <v>120</v>
      </c>
      <c r="B18" s="5">
        <v>52.26</v>
      </c>
      <c r="C18" s="6" t="s">
        <v>6</v>
      </c>
      <c r="D18" s="4"/>
      <c r="E18" s="4" t="s">
        <v>121</v>
      </c>
      <c r="F18" s="2" t="str">
        <f t="shared" si="0"/>
        <v>天然木皮 白橡山纹 2800mm R 3色号</v>
      </c>
      <c r="G18" s="2" t="str">
        <f t="shared" si="1"/>
        <v>2800mm</v>
      </c>
      <c r="H18" s="2" t="str">
        <f t="shared" si="2"/>
        <v>平方米</v>
      </c>
      <c r="J18" s="23" t="s">
        <v>576</v>
      </c>
      <c r="K18" s="23" t="s">
        <v>575</v>
      </c>
      <c r="L18" s="23" t="s">
        <v>560</v>
      </c>
      <c r="M18" s="23" t="s">
        <v>556</v>
      </c>
    </row>
    <row r="19" spans="1:13" x14ac:dyDescent="0.2">
      <c r="A19" s="4" t="s">
        <v>123</v>
      </c>
      <c r="B19" s="5">
        <v>129.58000000000001</v>
      </c>
      <c r="C19" s="6" t="s">
        <v>6</v>
      </c>
      <c r="D19" s="4"/>
      <c r="E19" s="4" t="s">
        <v>121</v>
      </c>
      <c r="F19" s="2" t="str">
        <f t="shared" si="0"/>
        <v>天然木皮 白橡山纹 2800mm R5色号</v>
      </c>
      <c r="G19" s="2" t="str">
        <f t="shared" si="1"/>
        <v>2800mm</v>
      </c>
      <c r="H19" s="2" t="str">
        <f t="shared" si="2"/>
        <v>平方米</v>
      </c>
      <c r="J19" s="23" t="s">
        <v>577</v>
      </c>
      <c r="K19" s="23" t="s">
        <v>575</v>
      </c>
      <c r="L19" s="23" t="s">
        <v>560</v>
      </c>
      <c r="M19" s="23" t="s">
        <v>556</v>
      </c>
    </row>
    <row r="20" spans="1:13" x14ac:dyDescent="0.2">
      <c r="A20" s="4" t="s">
        <v>125</v>
      </c>
      <c r="B20" s="5">
        <v>181.23</v>
      </c>
      <c r="C20" s="6" t="s">
        <v>6</v>
      </c>
      <c r="D20" s="4"/>
      <c r="E20" s="4" t="s">
        <v>121</v>
      </c>
      <c r="F20" s="2" t="str">
        <f t="shared" si="0"/>
        <v>天然木皮 白橡山纹 2800mm R 7色号</v>
      </c>
      <c r="G20" s="2" t="str">
        <f t="shared" si="1"/>
        <v>2800mm</v>
      </c>
      <c r="H20" s="2" t="str">
        <f t="shared" si="2"/>
        <v>平方米</v>
      </c>
      <c r="J20" s="23" t="s">
        <v>578</v>
      </c>
      <c r="K20" s="23" t="s">
        <v>575</v>
      </c>
      <c r="L20" s="23" t="s">
        <v>560</v>
      </c>
      <c r="M20" s="23" t="s">
        <v>556</v>
      </c>
    </row>
    <row r="21" spans="1:13" x14ac:dyDescent="0.2">
      <c r="A21" s="4" t="s">
        <v>128</v>
      </c>
      <c r="B21" s="5">
        <v>19.149999999999999</v>
      </c>
      <c r="C21" s="6" t="s">
        <v>6</v>
      </c>
      <c r="D21" s="4"/>
      <c r="E21" s="4" t="s">
        <v>121</v>
      </c>
      <c r="F21" s="2" t="str">
        <f t="shared" si="0"/>
        <v>天然木皮 白橡山纹 2800mm Y7色号</v>
      </c>
      <c r="G21" s="2" t="str">
        <f t="shared" si="1"/>
        <v>2800mm</v>
      </c>
      <c r="H21" s="2" t="str">
        <f t="shared" si="2"/>
        <v>平方米</v>
      </c>
      <c r="J21" s="23" t="s">
        <v>579</v>
      </c>
      <c r="K21" s="23" t="s">
        <v>580</v>
      </c>
      <c r="L21" s="23" t="s">
        <v>560</v>
      </c>
      <c r="M21" s="23" t="s">
        <v>556</v>
      </c>
    </row>
    <row r="22" spans="1:13" x14ac:dyDescent="0.2">
      <c r="A22" s="4" t="s">
        <v>131</v>
      </c>
      <c r="B22" s="5">
        <v>24.36</v>
      </c>
      <c r="C22" s="7" t="s">
        <v>11</v>
      </c>
      <c r="D22" s="4"/>
      <c r="E22" s="4" t="s">
        <v>121</v>
      </c>
      <c r="F22" s="2" t="s">
        <v>1198</v>
      </c>
      <c r="G22" s="23" t="s">
        <v>844</v>
      </c>
      <c r="H22" s="23" t="s">
        <v>556</v>
      </c>
      <c r="J22" s="23" t="s">
        <v>581</v>
      </c>
      <c r="K22" s="23" t="s">
        <v>580</v>
      </c>
      <c r="L22" s="23" t="s">
        <v>560</v>
      </c>
      <c r="M22" s="23" t="s">
        <v>556</v>
      </c>
    </row>
    <row r="23" spans="1:13" x14ac:dyDescent="0.2">
      <c r="A23" s="4" t="s">
        <v>127</v>
      </c>
      <c r="B23" s="5">
        <v>17.78</v>
      </c>
      <c r="C23" s="6" t="s">
        <v>6</v>
      </c>
      <c r="D23" s="4"/>
      <c r="E23" s="4" t="s">
        <v>121</v>
      </c>
      <c r="F23" s="2" t="str">
        <f t="shared" si="0"/>
        <v>天然木皮 白橡山纹 2800mm Y 5色号</v>
      </c>
      <c r="G23" s="2" t="str">
        <f t="shared" si="1"/>
        <v>2800mm</v>
      </c>
      <c r="H23" s="2" t="str">
        <f t="shared" si="2"/>
        <v>平方米</v>
      </c>
      <c r="J23" s="23" t="s">
        <v>582</v>
      </c>
      <c r="K23" s="23" t="s">
        <v>580</v>
      </c>
      <c r="L23" s="23" t="s">
        <v>560</v>
      </c>
      <c r="M23" s="23" t="s">
        <v>556</v>
      </c>
    </row>
    <row r="24" spans="1:13" x14ac:dyDescent="0.2">
      <c r="A24" s="4" t="s">
        <v>132</v>
      </c>
      <c r="B24" s="5">
        <v>563.96</v>
      </c>
      <c r="C24" s="6" t="s">
        <v>6</v>
      </c>
      <c r="D24" s="4"/>
      <c r="E24" s="4" t="s">
        <v>133</v>
      </c>
      <c r="F24" s="2" t="str">
        <f t="shared" si="0"/>
        <v>天然木皮 白橡直纹 2800mm R 5色号</v>
      </c>
      <c r="G24" s="2" t="str">
        <f t="shared" si="1"/>
        <v>2800mm</v>
      </c>
      <c r="H24" s="2" t="str">
        <f t="shared" si="2"/>
        <v>平方米</v>
      </c>
      <c r="J24" s="23" t="s">
        <v>583</v>
      </c>
      <c r="K24" s="23" t="s">
        <v>580</v>
      </c>
      <c r="L24" s="23" t="s">
        <v>560</v>
      </c>
      <c r="M24" s="23" t="s">
        <v>556</v>
      </c>
    </row>
    <row r="25" spans="1:13" x14ac:dyDescent="0.2">
      <c r="A25" s="4" t="s">
        <v>134</v>
      </c>
      <c r="B25" s="5">
        <v>884.23</v>
      </c>
      <c r="C25" s="6" t="s">
        <v>6</v>
      </c>
      <c r="D25" s="4"/>
      <c r="E25" s="4" t="s">
        <v>133</v>
      </c>
      <c r="F25" s="2" t="str">
        <f t="shared" si="0"/>
        <v>天然木皮 白橡直纹 2800mm Y5色号</v>
      </c>
      <c r="G25" s="2" t="str">
        <f t="shared" si="1"/>
        <v>2800mm</v>
      </c>
      <c r="H25" s="2" t="str">
        <f t="shared" si="2"/>
        <v>平方米</v>
      </c>
      <c r="J25" s="23" t="s">
        <v>584</v>
      </c>
      <c r="K25" s="23" t="s">
        <v>585</v>
      </c>
      <c r="L25" s="23" t="s">
        <v>560</v>
      </c>
      <c r="M25" s="23" t="s">
        <v>556</v>
      </c>
    </row>
    <row r="26" spans="1:13" x14ac:dyDescent="0.2">
      <c r="A26" s="4" t="s">
        <v>135</v>
      </c>
      <c r="B26" s="5">
        <v>446.05</v>
      </c>
      <c r="C26" s="6" t="s">
        <v>6</v>
      </c>
      <c r="D26" s="4"/>
      <c r="E26" s="4" t="s">
        <v>133</v>
      </c>
      <c r="F26" s="2" t="str">
        <f t="shared" si="0"/>
        <v>天然木皮 白橡直纹 2800mm R3色号</v>
      </c>
      <c r="G26" s="2" t="str">
        <f t="shared" si="1"/>
        <v>2800mm</v>
      </c>
      <c r="H26" s="2" t="str">
        <f t="shared" si="2"/>
        <v>平方米</v>
      </c>
      <c r="J26" s="23" t="s">
        <v>586</v>
      </c>
      <c r="K26" s="23" t="s">
        <v>585</v>
      </c>
      <c r="L26" s="23" t="s">
        <v>560</v>
      </c>
      <c r="M26" s="23" t="s">
        <v>556</v>
      </c>
    </row>
    <row r="27" spans="1:13" x14ac:dyDescent="0.2">
      <c r="A27" s="4" t="s">
        <v>135</v>
      </c>
      <c r="B27" s="5">
        <v>137.1</v>
      </c>
      <c r="C27" s="6" t="s">
        <v>6</v>
      </c>
      <c r="D27" s="4"/>
      <c r="E27" s="4" t="s">
        <v>133</v>
      </c>
      <c r="F27" s="2" t="str">
        <f t="shared" si="0"/>
        <v>天然木皮 白橡直纹 2800mm R3色号</v>
      </c>
      <c r="G27" s="2" t="str">
        <f t="shared" si="1"/>
        <v>2800mm</v>
      </c>
      <c r="H27" s="2" t="str">
        <f t="shared" si="2"/>
        <v>平方米</v>
      </c>
      <c r="J27" s="23" t="s">
        <v>587</v>
      </c>
      <c r="K27" s="23" t="s">
        <v>585</v>
      </c>
      <c r="L27" s="23" t="s">
        <v>560</v>
      </c>
      <c r="M27" s="23" t="s">
        <v>556</v>
      </c>
    </row>
    <row r="28" spans="1:13" x14ac:dyDescent="0.2">
      <c r="A28" s="4" t="s">
        <v>136</v>
      </c>
      <c r="B28" s="5">
        <v>561.37</v>
      </c>
      <c r="C28" s="6" t="s">
        <v>6</v>
      </c>
      <c r="D28" s="4"/>
      <c r="E28" s="4" t="s">
        <v>133</v>
      </c>
      <c r="F28" s="2" t="str">
        <f t="shared" si="0"/>
        <v>盘点加入20260108</v>
      </c>
      <c r="G28" s="2" t="str">
        <f t="shared" si="1"/>
        <v>NULL</v>
      </c>
      <c r="H28" s="2" t="str">
        <f t="shared" si="2"/>
        <v>平方米</v>
      </c>
      <c r="J28" s="23" t="s">
        <v>588</v>
      </c>
      <c r="K28" s="23" t="s">
        <v>585</v>
      </c>
      <c r="L28" s="23" t="s">
        <v>560</v>
      </c>
      <c r="M28" s="23" t="s">
        <v>556</v>
      </c>
    </row>
    <row r="29" spans="1:13" x14ac:dyDescent="0.2">
      <c r="A29" s="4" t="s">
        <v>137</v>
      </c>
      <c r="B29" s="5">
        <v>467.98</v>
      </c>
      <c r="C29" s="6" t="s">
        <v>6</v>
      </c>
      <c r="D29" s="4"/>
      <c r="E29" s="4" t="s">
        <v>133</v>
      </c>
      <c r="F29" s="2" t="str">
        <f t="shared" si="0"/>
        <v>天然木皮  白橡直纹  2800mm Y7色号</v>
      </c>
      <c r="G29" s="2" t="str">
        <f t="shared" si="1"/>
        <v>2800mm</v>
      </c>
      <c r="H29" s="2" t="str">
        <f t="shared" si="2"/>
        <v>平方米</v>
      </c>
      <c r="J29" s="23" t="s">
        <v>589</v>
      </c>
      <c r="K29" s="23" t="s">
        <v>590</v>
      </c>
      <c r="L29" s="23" t="s">
        <v>560</v>
      </c>
      <c r="M29" s="23" t="s">
        <v>556</v>
      </c>
    </row>
    <row r="30" spans="1:13" x14ac:dyDescent="0.2">
      <c r="A30" s="4" t="s">
        <v>138</v>
      </c>
      <c r="B30" s="5">
        <v>532.97</v>
      </c>
      <c r="C30" s="6" t="s">
        <v>6</v>
      </c>
      <c r="D30" s="4"/>
      <c r="E30" s="4" t="s">
        <v>133</v>
      </c>
      <c r="F30" s="2" t="str">
        <f t="shared" si="0"/>
        <v>天然木皮 白橡直纹 2800mm Y 3色号</v>
      </c>
      <c r="G30" s="2" t="str">
        <f t="shared" si="1"/>
        <v>2800mm</v>
      </c>
      <c r="H30" s="2" t="str">
        <f t="shared" si="2"/>
        <v>平方米</v>
      </c>
      <c r="J30" s="23" t="s">
        <v>591</v>
      </c>
      <c r="K30" s="23" t="s">
        <v>590</v>
      </c>
      <c r="L30" s="23" t="s">
        <v>560</v>
      </c>
      <c r="M30" s="23" t="s">
        <v>556</v>
      </c>
    </row>
    <row r="31" spans="1:13" x14ac:dyDescent="0.2">
      <c r="A31" s="4" t="s">
        <v>139</v>
      </c>
      <c r="B31" s="5">
        <v>282.3</v>
      </c>
      <c r="C31" s="6" t="s">
        <v>6</v>
      </c>
      <c r="D31" s="4"/>
      <c r="E31" s="4" t="s">
        <v>133</v>
      </c>
      <c r="F31" s="2" t="str">
        <f t="shared" si="0"/>
        <v>天然木皮  白橡直纹  2800mm Y1色号</v>
      </c>
      <c r="G31" s="2" t="str">
        <f t="shared" si="1"/>
        <v>2800mm</v>
      </c>
      <c r="H31" s="2" t="str">
        <f t="shared" si="2"/>
        <v>平方米</v>
      </c>
      <c r="J31" s="23" t="s">
        <v>592</v>
      </c>
      <c r="K31" s="23" t="s">
        <v>590</v>
      </c>
      <c r="L31" s="23" t="s">
        <v>560</v>
      </c>
      <c r="M31" s="23" t="s">
        <v>556</v>
      </c>
    </row>
    <row r="32" spans="1:13" x14ac:dyDescent="0.2">
      <c r="A32" s="4" t="s">
        <v>140</v>
      </c>
      <c r="B32" s="5">
        <v>1538.29</v>
      </c>
      <c r="C32" s="6" t="s">
        <v>6</v>
      </c>
      <c r="D32" s="4"/>
      <c r="E32" s="4" t="s">
        <v>133</v>
      </c>
      <c r="F32" s="2" t="str">
        <f t="shared" si="0"/>
        <v>天然木皮 黑胡桃白边 R7色号 2800mm</v>
      </c>
      <c r="G32" s="2" t="str">
        <f t="shared" si="1"/>
        <v>2800mm</v>
      </c>
      <c r="H32" s="2" t="str">
        <f t="shared" si="2"/>
        <v>平方米</v>
      </c>
      <c r="J32" s="23" t="s">
        <v>593</v>
      </c>
      <c r="K32" s="23" t="s">
        <v>594</v>
      </c>
      <c r="L32" s="23" t="s">
        <v>560</v>
      </c>
      <c r="M32" s="23" t="s">
        <v>556</v>
      </c>
    </row>
    <row r="33" spans="1:13" x14ac:dyDescent="0.2">
      <c r="A33" s="4" t="s">
        <v>141</v>
      </c>
      <c r="B33" s="5">
        <v>92.79</v>
      </c>
      <c r="C33" s="6" t="s">
        <v>6</v>
      </c>
      <c r="D33" s="4"/>
      <c r="E33" s="4" t="s">
        <v>142</v>
      </c>
      <c r="F33" s="2" t="str">
        <f t="shared" si="0"/>
        <v>天然木皮 红橡山纹 2800mm Y5色号</v>
      </c>
      <c r="G33" s="2" t="str">
        <f t="shared" si="1"/>
        <v>2800mm</v>
      </c>
      <c r="H33" s="2" t="str">
        <f t="shared" si="2"/>
        <v>平方米</v>
      </c>
      <c r="J33" s="23" t="s">
        <v>595</v>
      </c>
      <c r="K33" s="23" t="s">
        <v>594</v>
      </c>
      <c r="L33" s="23" t="s">
        <v>560</v>
      </c>
      <c r="M33" s="23" t="s">
        <v>556</v>
      </c>
    </row>
    <row r="34" spans="1:13" x14ac:dyDescent="0.2">
      <c r="A34" s="4" t="s">
        <v>143</v>
      </c>
      <c r="B34" s="5">
        <v>40</v>
      </c>
      <c r="C34" s="6" t="s">
        <v>6</v>
      </c>
      <c r="D34" s="4"/>
      <c r="E34" s="4" t="s">
        <v>142</v>
      </c>
      <c r="F34" s="2" t="str">
        <f t="shared" si="0"/>
        <v>天然木皮 红橡山纹 2800mm Y7色号</v>
      </c>
      <c r="G34" s="2" t="str">
        <f t="shared" si="1"/>
        <v>2800mm</v>
      </c>
      <c r="H34" s="2" t="str">
        <f t="shared" si="2"/>
        <v>平方米</v>
      </c>
      <c r="J34" s="23" t="s">
        <v>596</v>
      </c>
      <c r="K34" s="23" t="s">
        <v>594</v>
      </c>
      <c r="L34" s="23" t="s">
        <v>560</v>
      </c>
      <c r="M34" s="23" t="s">
        <v>556</v>
      </c>
    </row>
    <row r="35" spans="1:13" x14ac:dyDescent="0.2">
      <c r="A35" s="4" t="s">
        <v>144</v>
      </c>
      <c r="B35" s="5">
        <v>92.52</v>
      </c>
      <c r="C35" s="6" t="s">
        <v>6</v>
      </c>
      <c r="D35" s="4"/>
      <c r="E35" s="4" t="s">
        <v>142</v>
      </c>
      <c r="F35" s="2" t="str">
        <f t="shared" si="0"/>
        <v>盘点加入20260108</v>
      </c>
      <c r="G35" s="2" t="str">
        <f t="shared" si="1"/>
        <v>NULL</v>
      </c>
      <c r="H35" s="2" t="str">
        <f t="shared" si="2"/>
        <v>平方米</v>
      </c>
      <c r="J35" s="23" t="s">
        <v>597</v>
      </c>
      <c r="K35" s="23" t="s">
        <v>598</v>
      </c>
      <c r="L35" s="23" t="s">
        <v>560</v>
      </c>
      <c r="M35" s="23" t="s">
        <v>556</v>
      </c>
    </row>
    <row r="36" spans="1:13" x14ac:dyDescent="0.2">
      <c r="A36" s="4" t="s">
        <v>145</v>
      </c>
      <c r="B36" s="5">
        <v>26.65</v>
      </c>
      <c r="C36" s="6" t="s">
        <v>6</v>
      </c>
      <c r="D36" s="4"/>
      <c r="E36" s="4" t="s">
        <v>142</v>
      </c>
      <c r="F36" s="2" t="str">
        <f t="shared" si="0"/>
        <v>天然木皮 红橡山纹 2800mm Y9色号</v>
      </c>
      <c r="G36" s="2" t="str">
        <f t="shared" si="1"/>
        <v>2800mm</v>
      </c>
      <c r="H36" s="2" t="str">
        <f t="shared" si="2"/>
        <v>平方米</v>
      </c>
      <c r="J36" s="23" t="s">
        <v>599</v>
      </c>
      <c r="K36" s="23" t="s">
        <v>598</v>
      </c>
      <c r="L36" s="23" t="s">
        <v>560</v>
      </c>
      <c r="M36" s="23" t="s">
        <v>556</v>
      </c>
    </row>
    <row r="37" spans="1:13" x14ac:dyDescent="0.2">
      <c r="A37" s="4" t="s">
        <v>146</v>
      </c>
      <c r="B37" s="5">
        <v>316.14</v>
      </c>
      <c r="C37" s="6" t="s">
        <v>6</v>
      </c>
      <c r="D37" s="4"/>
      <c r="E37" s="4" t="s">
        <v>142</v>
      </c>
      <c r="F37" s="2" t="str">
        <f t="shared" si="0"/>
        <v>天然木皮 红橡山纹 2800mm R 7色号</v>
      </c>
      <c r="G37" s="2" t="str">
        <f t="shared" si="1"/>
        <v>2800mm</v>
      </c>
      <c r="H37" s="2" t="str">
        <f t="shared" si="2"/>
        <v>张</v>
      </c>
      <c r="J37" s="23" t="s">
        <v>600</v>
      </c>
      <c r="K37" s="23" t="s">
        <v>598</v>
      </c>
      <c r="L37" s="23" t="s">
        <v>560</v>
      </c>
      <c r="M37" s="23" t="s">
        <v>556</v>
      </c>
    </row>
    <row r="38" spans="1:13" x14ac:dyDescent="0.2">
      <c r="A38" s="16" t="s">
        <v>530</v>
      </c>
      <c r="B38" s="5">
        <v>373</v>
      </c>
      <c r="C38" s="7" t="s">
        <v>11</v>
      </c>
      <c r="D38" s="4" t="s">
        <v>76</v>
      </c>
      <c r="E38" s="4" t="s">
        <v>142</v>
      </c>
      <c r="F38" s="2" t="str">
        <f t="shared" si="0"/>
        <v>天然木皮  黑胡桃山纹  2800mm Y7色号</v>
      </c>
      <c r="G38" s="2" t="str">
        <f t="shared" si="1"/>
        <v>2800mm</v>
      </c>
      <c r="H38" s="2" t="str">
        <f t="shared" si="2"/>
        <v>平方米</v>
      </c>
      <c r="J38" s="23" t="s">
        <v>601</v>
      </c>
      <c r="K38" s="23" t="s">
        <v>602</v>
      </c>
      <c r="L38" s="23" t="s">
        <v>560</v>
      </c>
      <c r="M38" s="23" t="s">
        <v>556</v>
      </c>
    </row>
    <row r="39" spans="1:13" x14ac:dyDescent="0.2">
      <c r="A39" s="4" t="s">
        <v>147</v>
      </c>
      <c r="B39" s="5">
        <v>451.09</v>
      </c>
      <c r="C39" s="6" t="s">
        <v>6</v>
      </c>
      <c r="D39" s="4"/>
      <c r="E39" s="4" t="s">
        <v>148</v>
      </c>
      <c r="F39" s="2" t="str">
        <f t="shared" si="0"/>
        <v>天然木皮 红橡直纹 2800mm R 5色号</v>
      </c>
      <c r="G39" s="2" t="str">
        <f t="shared" si="1"/>
        <v>2800mm</v>
      </c>
      <c r="H39" s="2" t="str">
        <f t="shared" si="2"/>
        <v>张</v>
      </c>
      <c r="J39" s="23" t="s">
        <v>603</v>
      </c>
      <c r="K39" s="23" t="s">
        <v>604</v>
      </c>
      <c r="L39" s="23" t="s">
        <v>560</v>
      </c>
      <c r="M39" s="23" t="s">
        <v>556</v>
      </c>
    </row>
    <row r="40" spans="1:13" x14ac:dyDescent="0.2">
      <c r="A40" s="4" t="s">
        <v>149</v>
      </c>
      <c r="B40" s="5">
        <v>103.93</v>
      </c>
      <c r="C40" s="6" t="s">
        <v>6</v>
      </c>
      <c r="D40" s="4"/>
      <c r="E40" s="4" t="s">
        <v>148</v>
      </c>
      <c r="F40" s="2" t="str">
        <f t="shared" si="0"/>
        <v>天然木皮 红橡直纹 2800mm Y5 色号</v>
      </c>
      <c r="G40" s="2" t="str">
        <f t="shared" si="1"/>
        <v>2800mm</v>
      </c>
      <c r="H40" s="2" t="str">
        <f t="shared" si="2"/>
        <v>张</v>
      </c>
      <c r="J40" s="23" t="s">
        <v>605</v>
      </c>
      <c r="K40" s="23" t="s">
        <v>604</v>
      </c>
      <c r="L40" s="23" t="s">
        <v>560</v>
      </c>
      <c r="M40" s="23" t="s">
        <v>556</v>
      </c>
    </row>
    <row r="41" spans="1:13" x14ac:dyDescent="0.2">
      <c r="A41" s="4" t="s">
        <v>150</v>
      </c>
      <c r="B41" s="5">
        <v>560.41</v>
      </c>
      <c r="C41" s="6" t="s">
        <v>6</v>
      </c>
      <c r="D41" s="4"/>
      <c r="E41" s="4" t="s">
        <v>148</v>
      </c>
      <c r="F41" s="2" t="str">
        <f t="shared" si="0"/>
        <v>天然木皮 红橡直纹 2800mm Y7色号</v>
      </c>
      <c r="G41" s="2" t="str">
        <f t="shared" si="1"/>
        <v>2800mm</v>
      </c>
      <c r="H41" s="2" t="str">
        <f t="shared" si="2"/>
        <v>张</v>
      </c>
      <c r="J41" s="23" t="s">
        <v>606</v>
      </c>
      <c r="K41" s="23" t="s">
        <v>604</v>
      </c>
      <c r="L41" s="23" t="s">
        <v>560</v>
      </c>
      <c r="M41" s="23" t="s">
        <v>556</v>
      </c>
    </row>
    <row r="42" spans="1:13" x14ac:dyDescent="0.2">
      <c r="A42" s="4" t="s">
        <v>147</v>
      </c>
      <c r="B42" s="5">
        <v>407.21</v>
      </c>
      <c r="C42" s="6" t="s">
        <v>6</v>
      </c>
      <c r="D42" s="4"/>
      <c r="E42" s="4" t="s">
        <v>148</v>
      </c>
      <c r="F42" s="2" t="str">
        <f t="shared" si="0"/>
        <v>天然木皮 红橡直纹 2800mm R 5色号</v>
      </c>
      <c r="G42" s="2" t="str">
        <f t="shared" si="1"/>
        <v>2800mm</v>
      </c>
      <c r="H42" s="2" t="str">
        <f t="shared" si="2"/>
        <v>张</v>
      </c>
      <c r="J42" s="23" t="s">
        <v>607</v>
      </c>
      <c r="K42" s="23" t="s">
        <v>608</v>
      </c>
      <c r="L42" s="23" t="s">
        <v>560</v>
      </c>
      <c r="M42" s="23" t="s">
        <v>556</v>
      </c>
    </row>
    <row r="43" spans="1:13" x14ac:dyDescent="0.2">
      <c r="A43" s="4" t="s">
        <v>151</v>
      </c>
      <c r="B43" s="5">
        <v>330.1</v>
      </c>
      <c r="C43" s="6" t="s">
        <v>6</v>
      </c>
      <c r="D43" s="4"/>
      <c r="E43" s="4" t="s">
        <v>148</v>
      </c>
      <c r="F43" s="2" t="str">
        <f t="shared" si="0"/>
        <v>天然木皮 红橡直纹 2800mm Y3色号</v>
      </c>
      <c r="G43" s="2" t="str">
        <f t="shared" si="1"/>
        <v>2800mm</v>
      </c>
      <c r="H43" s="2" t="str">
        <f t="shared" si="2"/>
        <v>张</v>
      </c>
      <c r="J43" s="23" t="s">
        <v>609</v>
      </c>
      <c r="K43" s="23" t="s">
        <v>608</v>
      </c>
      <c r="L43" s="23" t="s">
        <v>560</v>
      </c>
      <c r="M43" s="23" t="s">
        <v>556</v>
      </c>
    </row>
    <row r="44" spans="1:13" x14ac:dyDescent="0.2">
      <c r="A44" s="4" t="s">
        <v>152</v>
      </c>
      <c r="B44" s="5">
        <v>239.04</v>
      </c>
      <c r="C44" s="6" t="s">
        <v>6</v>
      </c>
      <c r="D44" s="4"/>
      <c r="E44" s="4" t="s">
        <v>148</v>
      </c>
      <c r="F44" s="2" t="str">
        <f t="shared" si="0"/>
        <v>天然木皮 红橡直纹 2800mm R7色号</v>
      </c>
      <c r="G44" s="2" t="str">
        <f t="shared" si="1"/>
        <v>2800mm</v>
      </c>
      <c r="H44" s="2" t="str">
        <f t="shared" si="2"/>
        <v>张</v>
      </c>
      <c r="J44" s="23" t="s">
        <v>610</v>
      </c>
      <c r="K44" s="23" t="s">
        <v>608</v>
      </c>
      <c r="L44" s="23" t="s">
        <v>560</v>
      </c>
      <c r="M44" s="23" t="s">
        <v>556</v>
      </c>
    </row>
    <row r="45" spans="1:13" x14ac:dyDescent="0.2">
      <c r="A45" s="4" t="s">
        <v>149</v>
      </c>
      <c r="B45" s="5">
        <v>243.6</v>
      </c>
      <c r="C45" s="25" t="s">
        <v>1199</v>
      </c>
      <c r="D45" s="4"/>
      <c r="E45" s="4" t="s">
        <v>148</v>
      </c>
      <c r="F45" s="2" t="str">
        <f t="shared" si="0"/>
        <v>天然木皮 红橡直纹 2800mm Y5 色号</v>
      </c>
      <c r="G45" s="2" t="str">
        <f t="shared" si="1"/>
        <v>2800mm</v>
      </c>
      <c r="H45" s="2" t="str">
        <f t="shared" si="2"/>
        <v>张</v>
      </c>
      <c r="J45" s="23" t="s">
        <v>611</v>
      </c>
      <c r="K45" s="23" t="s">
        <v>612</v>
      </c>
      <c r="L45" s="23" t="s">
        <v>560</v>
      </c>
      <c r="M45" s="23" t="s">
        <v>556</v>
      </c>
    </row>
    <row r="46" spans="1:13" x14ac:dyDescent="0.2">
      <c r="A46" s="4" t="s">
        <v>152</v>
      </c>
      <c r="B46" s="5">
        <v>162.22999999999999</v>
      </c>
      <c r="C46" s="6" t="s">
        <v>6</v>
      </c>
      <c r="D46" s="4"/>
      <c r="E46" s="4" t="s">
        <v>148</v>
      </c>
      <c r="F46" s="2" t="str">
        <f t="shared" si="0"/>
        <v>天然木皮 红橡直纹 2800mm R7色号</v>
      </c>
      <c r="G46" s="2" t="str">
        <f t="shared" si="1"/>
        <v>2800mm</v>
      </c>
      <c r="H46" s="2" t="str">
        <f t="shared" si="2"/>
        <v>张</v>
      </c>
      <c r="J46" s="23" t="s">
        <v>613</v>
      </c>
      <c r="K46" s="23" t="s">
        <v>612</v>
      </c>
      <c r="L46" s="23" t="s">
        <v>560</v>
      </c>
      <c r="M46" s="23" t="s">
        <v>556</v>
      </c>
    </row>
    <row r="47" spans="1:13" x14ac:dyDescent="0.2">
      <c r="A47" s="4" t="s">
        <v>153</v>
      </c>
      <c r="B47" s="5">
        <v>64.400000000000006</v>
      </c>
      <c r="C47" s="6" t="s">
        <v>6</v>
      </c>
      <c r="D47" s="4"/>
      <c r="E47" s="4" t="s">
        <v>148</v>
      </c>
      <c r="F47" s="2" t="str">
        <f t="shared" si="0"/>
        <v>天然木皮 红橡直纹 2800mm R1 色号</v>
      </c>
      <c r="G47" s="2" t="str">
        <f t="shared" si="1"/>
        <v>2800mm</v>
      </c>
      <c r="H47" s="2" t="str">
        <f t="shared" si="2"/>
        <v>张</v>
      </c>
      <c r="J47" s="23" t="s">
        <v>614</v>
      </c>
      <c r="K47" s="23" t="s">
        <v>612</v>
      </c>
      <c r="L47" s="23" t="s">
        <v>560</v>
      </c>
      <c r="M47" s="23" t="s">
        <v>556</v>
      </c>
    </row>
    <row r="48" spans="1:13" x14ac:dyDescent="0.2">
      <c r="A48" s="4" t="s">
        <v>151</v>
      </c>
      <c r="B48" s="8">
        <v>175.19</v>
      </c>
      <c r="C48" s="6" t="s">
        <v>6</v>
      </c>
      <c r="D48" s="4"/>
      <c r="E48" s="4" t="s">
        <v>148</v>
      </c>
      <c r="F48" s="2" t="str">
        <f t="shared" si="0"/>
        <v>天然木皮 红橡直纹 2800mm Y3色号</v>
      </c>
      <c r="G48" s="2" t="str">
        <f t="shared" si="1"/>
        <v>2800mm</v>
      </c>
      <c r="H48" s="2" t="str">
        <f t="shared" si="2"/>
        <v>张</v>
      </c>
      <c r="J48" s="23" t="s">
        <v>487</v>
      </c>
      <c r="K48" s="23" t="s">
        <v>615</v>
      </c>
      <c r="L48" s="23" t="s">
        <v>616</v>
      </c>
      <c r="M48" s="23" t="s">
        <v>556</v>
      </c>
    </row>
    <row r="49" spans="1:13" x14ac:dyDescent="0.2">
      <c r="A49" s="4" t="s">
        <v>154</v>
      </c>
      <c r="B49" s="8">
        <v>67.209999999999994</v>
      </c>
      <c r="C49" s="6" t="s">
        <v>6</v>
      </c>
      <c r="D49" s="4"/>
      <c r="E49" s="4" t="s">
        <v>148</v>
      </c>
      <c r="F49" s="2" t="str">
        <f t="shared" si="0"/>
        <v>天然木皮 红橡直纹 2800mm R3色号</v>
      </c>
      <c r="G49" s="2" t="str">
        <f t="shared" si="1"/>
        <v>2800mm</v>
      </c>
      <c r="H49" s="2" t="str">
        <f t="shared" si="2"/>
        <v>张</v>
      </c>
      <c r="J49" s="23" t="s">
        <v>617</v>
      </c>
      <c r="K49" s="23" t="s">
        <v>618</v>
      </c>
      <c r="L49" s="23" t="s">
        <v>560</v>
      </c>
      <c r="M49" s="23" t="s">
        <v>556</v>
      </c>
    </row>
    <row r="50" spans="1:13" x14ac:dyDescent="0.2">
      <c r="A50" s="16" t="s">
        <v>531</v>
      </c>
      <c r="B50" s="8">
        <v>290.45999999999998</v>
      </c>
      <c r="C50" s="6" t="s">
        <v>6</v>
      </c>
      <c r="D50" s="4" t="s">
        <v>18</v>
      </c>
      <c r="E50" s="4" t="s">
        <v>148</v>
      </c>
      <c r="F50" s="2" t="str">
        <f t="shared" si="0"/>
        <v>天然木皮 红橡直纹 2800mm R7色号</v>
      </c>
      <c r="G50" s="2" t="str">
        <f t="shared" si="1"/>
        <v>2800mm</v>
      </c>
      <c r="H50" s="2" t="str">
        <f t="shared" si="2"/>
        <v>张</v>
      </c>
      <c r="J50" s="23" t="s">
        <v>619</v>
      </c>
      <c r="K50" s="23" t="s">
        <v>618</v>
      </c>
      <c r="L50" s="23" t="s">
        <v>560</v>
      </c>
      <c r="M50" s="23" t="s">
        <v>556</v>
      </c>
    </row>
    <row r="51" spans="1:13" x14ac:dyDescent="0.2">
      <c r="A51" s="4" t="s">
        <v>155</v>
      </c>
      <c r="B51" s="5">
        <v>803.04</v>
      </c>
      <c r="C51" s="6" t="s">
        <v>6</v>
      </c>
      <c r="D51" s="4"/>
      <c r="E51" s="4" t="s">
        <v>156</v>
      </c>
      <c r="F51" s="2" t="str">
        <f t="shared" si="0"/>
        <v>天然木皮 胡桃木山纹 2800mm G9 色号</v>
      </c>
      <c r="G51" s="2" t="str">
        <f t="shared" si="1"/>
        <v>2800mm</v>
      </c>
      <c r="H51" s="2" t="str">
        <f t="shared" si="2"/>
        <v>平方米</v>
      </c>
      <c r="J51" s="23" t="s">
        <v>620</v>
      </c>
      <c r="K51" s="23" t="s">
        <v>618</v>
      </c>
      <c r="L51" s="23" t="s">
        <v>560</v>
      </c>
      <c r="M51" s="23" t="s">
        <v>556</v>
      </c>
    </row>
    <row r="52" spans="1:13" x14ac:dyDescent="0.2">
      <c r="A52" s="4" t="s">
        <v>157</v>
      </c>
      <c r="B52" s="5">
        <v>296.7</v>
      </c>
      <c r="C52" s="6" t="s">
        <v>6</v>
      </c>
      <c r="D52" s="4"/>
      <c r="E52" s="4" t="s">
        <v>156</v>
      </c>
      <c r="F52" s="2" t="str">
        <f t="shared" si="0"/>
        <v>天然木皮 胡桃木山纹 2800mm R 3色号</v>
      </c>
      <c r="G52" s="2" t="str">
        <f t="shared" si="1"/>
        <v>2800mm</v>
      </c>
      <c r="H52" s="2" t="str">
        <f t="shared" si="2"/>
        <v>平方米</v>
      </c>
      <c r="J52" s="23" t="s">
        <v>621</v>
      </c>
      <c r="K52" s="23" t="s">
        <v>618</v>
      </c>
      <c r="L52" s="23" t="s">
        <v>560</v>
      </c>
      <c r="M52" s="23" t="s">
        <v>556</v>
      </c>
    </row>
    <row r="53" spans="1:13" x14ac:dyDescent="0.2">
      <c r="A53" s="4" t="s">
        <v>158</v>
      </c>
      <c r="B53" s="5">
        <v>77.77</v>
      </c>
      <c r="C53" s="6" t="s">
        <v>6</v>
      </c>
      <c r="D53" s="4"/>
      <c r="E53" s="4" t="s">
        <v>156</v>
      </c>
      <c r="F53" s="2" t="str">
        <f t="shared" si="0"/>
        <v>天然木皮 胡桃木山纹 2800mm Y 3色号</v>
      </c>
      <c r="G53" s="2" t="str">
        <f t="shared" si="1"/>
        <v>2800mm</v>
      </c>
      <c r="H53" s="2" t="str">
        <f t="shared" si="2"/>
        <v>张</v>
      </c>
      <c r="J53" s="23" t="s">
        <v>622</v>
      </c>
      <c r="K53" s="23" t="s">
        <v>623</v>
      </c>
      <c r="L53" s="23" t="s">
        <v>560</v>
      </c>
      <c r="M53" s="23" t="s">
        <v>556</v>
      </c>
    </row>
    <row r="54" spans="1:13" x14ac:dyDescent="0.2">
      <c r="A54" s="4" t="s">
        <v>158</v>
      </c>
      <c r="B54" s="5">
        <v>158.65</v>
      </c>
      <c r="C54" s="6" t="s">
        <v>6</v>
      </c>
      <c r="D54" s="4"/>
      <c r="E54" s="4" t="s">
        <v>156</v>
      </c>
      <c r="F54" s="2" t="str">
        <f t="shared" si="0"/>
        <v>天然木皮 胡桃木山纹 2800mm Y 3色号</v>
      </c>
      <c r="G54" s="2" t="str">
        <f t="shared" si="1"/>
        <v>2800mm</v>
      </c>
      <c r="H54" s="2" t="str">
        <f t="shared" si="2"/>
        <v>张</v>
      </c>
      <c r="J54" s="23" t="s">
        <v>624</v>
      </c>
      <c r="K54" s="23" t="s">
        <v>623</v>
      </c>
      <c r="L54" s="23" t="s">
        <v>560</v>
      </c>
      <c r="M54" s="23" t="s">
        <v>556</v>
      </c>
    </row>
    <row r="55" spans="1:13" x14ac:dyDescent="0.2">
      <c r="A55" s="4" t="s">
        <v>159</v>
      </c>
      <c r="B55" s="5">
        <v>234.23</v>
      </c>
      <c r="C55" s="6" t="s">
        <v>6</v>
      </c>
      <c r="D55" s="4"/>
      <c r="E55" s="4" t="s">
        <v>156</v>
      </c>
      <c r="F55" s="2" t="str">
        <f t="shared" si="0"/>
        <v>天然木皮  黑胡桃山纹  2800mm R1色号</v>
      </c>
      <c r="G55" s="2" t="str">
        <f t="shared" si="1"/>
        <v>2800mm</v>
      </c>
      <c r="H55" s="2" t="str">
        <f t="shared" si="2"/>
        <v>平方米</v>
      </c>
      <c r="J55" s="23" t="s">
        <v>625</v>
      </c>
      <c r="K55" s="23" t="s">
        <v>623</v>
      </c>
      <c r="L55" s="23" t="s">
        <v>560</v>
      </c>
      <c r="M55" s="23" t="s">
        <v>556</v>
      </c>
    </row>
    <row r="56" spans="1:13" x14ac:dyDescent="0.2">
      <c r="A56" s="4" t="s">
        <v>157</v>
      </c>
      <c r="B56" s="5">
        <v>139.47999999999999</v>
      </c>
      <c r="C56" s="6" t="s">
        <v>6</v>
      </c>
      <c r="D56" s="4"/>
      <c r="E56" s="4" t="s">
        <v>156</v>
      </c>
      <c r="F56" s="2" t="str">
        <f t="shared" si="0"/>
        <v>天然木皮 胡桃木山纹 2800mm R 3色号</v>
      </c>
      <c r="G56" s="2" t="str">
        <f t="shared" si="1"/>
        <v>2800mm</v>
      </c>
      <c r="H56" s="2" t="str">
        <f t="shared" si="2"/>
        <v>平方米</v>
      </c>
      <c r="J56" s="23" t="s">
        <v>626</v>
      </c>
      <c r="K56" s="23" t="s">
        <v>623</v>
      </c>
      <c r="L56" s="23" t="s">
        <v>560</v>
      </c>
      <c r="M56" s="23" t="s">
        <v>556</v>
      </c>
    </row>
    <row r="57" spans="1:13" x14ac:dyDescent="0.2">
      <c r="A57" s="4" t="s">
        <v>160</v>
      </c>
      <c r="B57" s="5">
        <v>149.59</v>
      </c>
      <c r="C57" s="6" t="s">
        <v>6</v>
      </c>
      <c r="D57" s="4"/>
      <c r="E57" s="4" t="s">
        <v>156</v>
      </c>
      <c r="F57" s="2" t="str">
        <f t="shared" si="0"/>
        <v>天然木皮  黑胡桃山纹  2800mm Y5色号</v>
      </c>
      <c r="G57" s="2" t="str">
        <f t="shared" si="1"/>
        <v>2800mm</v>
      </c>
      <c r="H57" s="2" t="str">
        <f t="shared" si="2"/>
        <v>平方米</v>
      </c>
      <c r="J57" s="23" t="s">
        <v>627</v>
      </c>
      <c r="K57" s="23" t="s">
        <v>628</v>
      </c>
      <c r="L57" s="23" t="s">
        <v>560</v>
      </c>
      <c r="M57" s="23" t="s">
        <v>556</v>
      </c>
    </row>
    <row r="58" spans="1:13" x14ac:dyDescent="0.2">
      <c r="A58" s="4" t="s">
        <v>158</v>
      </c>
      <c r="B58" s="5">
        <v>138.16</v>
      </c>
      <c r="C58" s="6" t="s">
        <v>6</v>
      </c>
      <c r="D58" s="4"/>
      <c r="E58" s="4" t="s">
        <v>156</v>
      </c>
      <c r="F58" s="2" t="str">
        <f t="shared" si="0"/>
        <v>天然木皮 胡桃木山纹 2800mm Y 3色号</v>
      </c>
      <c r="G58" s="2" t="str">
        <f t="shared" si="1"/>
        <v>2800mm</v>
      </c>
      <c r="H58" s="2" t="str">
        <f t="shared" si="2"/>
        <v>张</v>
      </c>
      <c r="J58" s="23" t="s">
        <v>629</v>
      </c>
      <c r="K58" s="23" t="s">
        <v>628</v>
      </c>
      <c r="L58" s="23" t="s">
        <v>560</v>
      </c>
      <c r="M58" s="23" t="s">
        <v>556</v>
      </c>
    </row>
    <row r="59" spans="1:13" x14ac:dyDescent="0.2">
      <c r="A59" s="4" t="s">
        <v>161</v>
      </c>
      <c r="B59" s="5">
        <v>41.04</v>
      </c>
      <c r="C59" s="6" t="s">
        <v>6</v>
      </c>
      <c r="D59" s="4"/>
      <c r="E59" s="4" t="s">
        <v>156</v>
      </c>
      <c r="F59" s="2" t="str">
        <f t="shared" si="0"/>
        <v>天然木皮  黑胡桃山纹  2800mm Y1色号</v>
      </c>
      <c r="G59" s="2" t="str">
        <f t="shared" si="1"/>
        <v>2800mm</v>
      </c>
      <c r="H59" s="2" t="str">
        <f t="shared" si="2"/>
        <v>平方米</v>
      </c>
      <c r="J59" s="23" t="s">
        <v>630</v>
      </c>
      <c r="K59" s="23" t="s">
        <v>628</v>
      </c>
      <c r="L59" s="23" t="s">
        <v>560</v>
      </c>
      <c r="M59" s="23" t="s">
        <v>556</v>
      </c>
    </row>
    <row r="60" spans="1:13" x14ac:dyDescent="0.2">
      <c r="A60" s="4" t="s">
        <v>162</v>
      </c>
      <c r="B60" s="5">
        <v>142.13</v>
      </c>
      <c r="C60" s="6" t="s">
        <v>6</v>
      </c>
      <c r="D60" s="4"/>
      <c r="E60" s="4" t="s">
        <v>156</v>
      </c>
      <c r="F60" s="2" t="str">
        <f t="shared" si="0"/>
        <v>天然木皮 胡桃木山纹 2800mm R9色号</v>
      </c>
      <c r="G60" s="2" t="str">
        <f t="shared" si="1"/>
        <v>2800mm</v>
      </c>
      <c r="H60" s="2" t="str">
        <f t="shared" si="2"/>
        <v>张</v>
      </c>
      <c r="J60" s="23" t="s">
        <v>631</v>
      </c>
      <c r="K60" s="23" t="s">
        <v>628</v>
      </c>
      <c r="L60" s="23" t="s">
        <v>560</v>
      </c>
      <c r="M60" s="23" t="s">
        <v>556</v>
      </c>
    </row>
    <row r="61" spans="1:13" x14ac:dyDescent="0.2">
      <c r="A61" s="4" t="s">
        <v>163</v>
      </c>
      <c r="B61" s="5">
        <v>281.95999999999998</v>
      </c>
      <c r="C61" s="6" t="s">
        <v>6</v>
      </c>
      <c r="D61" s="4"/>
      <c r="E61" s="4" t="s">
        <v>156</v>
      </c>
      <c r="F61" s="2" t="str">
        <f t="shared" si="0"/>
        <v>天然木皮  黑胡桃山纹  2800mm Y7色号</v>
      </c>
      <c r="G61" s="2" t="str">
        <f t="shared" si="1"/>
        <v>2800mm</v>
      </c>
      <c r="H61" s="2" t="str">
        <f t="shared" si="2"/>
        <v>平方米</v>
      </c>
      <c r="J61" s="23" t="s">
        <v>632</v>
      </c>
      <c r="K61" s="23" t="s">
        <v>633</v>
      </c>
      <c r="L61" s="23" t="s">
        <v>560</v>
      </c>
      <c r="M61" s="23" t="s">
        <v>556</v>
      </c>
    </row>
    <row r="62" spans="1:13" x14ac:dyDescent="0.2">
      <c r="A62" s="4" t="s">
        <v>155</v>
      </c>
      <c r="B62" s="5">
        <v>217.24</v>
      </c>
      <c r="C62" s="6" t="s">
        <v>6</v>
      </c>
      <c r="D62" s="4"/>
      <c r="E62" s="4" t="s">
        <v>156</v>
      </c>
      <c r="F62" s="2" t="str">
        <f t="shared" si="0"/>
        <v>天然木皮 胡桃木山纹 2800mm G9 色号</v>
      </c>
      <c r="G62" s="2" t="str">
        <f t="shared" si="1"/>
        <v>2800mm</v>
      </c>
      <c r="H62" s="2" t="str">
        <f t="shared" si="2"/>
        <v>平方米</v>
      </c>
      <c r="J62" s="23" t="s">
        <v>634</v>
      </c>
      <c r="K62" s="23" t="s">
        <v>633</v>
      </c>
      <c r="L62" s="23" t="s">
        <v>560</v>
      </c>
      <c r="M62" s="23" t="s">
        <v>556</v>
      </c>
    </row>
    <row r="63" spans="1:13" x14ac:dyDescent="0.2">
      <c r="A63" s="16" t="s">
        <v>532</v>
      </c>
      <c r="B63" s="5">
        <v>439.92</v>
      </c>
      <c r="C63" s="7" t="s">
        <v>11</v>
      </c>
      <c r="D63" s="4" t="s">
        <v>93</v>
      </c>
      <c r="E63" s="4" t="s">
        <v>156</v>
      </c>
      <c r="F63" s="2" t="str">
        <f t="shared" si="0"/>
        <v>天然木皮 榆木山纹 2800mm R9色号</v>
      </c>
      <c r="G63" s="2" t="str">
        <f t="shared" si="1"/>
        <v>2800mm</v>
      </c>
      <c r="H63" s="2" t="str">
        <f t="shared" si="2"/>
        <v>张</v>
      </c>
      <c r="J63" s="23" t="s">
        <v>635</v>
      </c>
      <c r="K63" s="23" t="s">
        <v>633</v>
      </c>
      <c r="L63" s="23" t="s">
        <v>560</v>
      </c>
      <c r="M63" s="23" t="s">
        <v>556</v>
      </c>
    </row>
    <row r="64" spans="1:13" x14ac:dyDescent="0.2">
      <c r="A64" s="4" t="s">
        <v>164</v>
      </c>
      <c r="B64" s="5">
        <v>468.96</v>
      </c>
      <c r="C64" s="6" t="s">
        <v>6</v>
      </c>
      <c r="D64" s="4"/>
      <c r="E64" s="4" t="s">
        <v>165</v>
      </c>
      <c r="F64" s="2" t="str">
        <f t="shared" si="0"/>
        <v>天然木皮 榆木山纹 2800mm Y 3色号</v>
      </c>
      <c r="G64" s="2" t="str">
        <f t="shared" si="1"/>
        <v>2800mm</v>
      </c>
      <c r="H64" s="2" t="str">
        <f t="shared" si="2"/>
        <v>平方米</v>
      </c>
      <c r="J64" s="23" t="s">
        <v>636</v>
      </c>
      <c r="K64" s="23" t="s">
        <v>633</v>
      </c>
      <c r="L64" s="23" t="s">
        <v>560</v>
      </c>
      <c r="M64" s="23" t="s">
        <v>556</v>
      </c>
    </row>
    <row r="65" spans="1:13" x14ac:dyDescent="0.2">
      <c r="A65" s="4" t="s">
        <v>166</v>
      </c>
      <c r="B65" s="5">
        <v>401.11</v>
      </c>
      <c r="C65" s="6" t="s">
        <v>6</v>
      </c>
      <c r="D65" s="4"/>
      <c r="E65" s="4" t="s">
        <v>165</v>
      </c>
      <c r="F65" s="2" t="str">
        <f t="shared" si="0"/>
        <v>天然木皮 榆木山纹 2800mm R5色号</v>
      </c>
      <c r="G65" s="2" t="str">
        <f t="shared" si="1"/>
        <v>2800mm</v>
      </c>
      <c r="H65" s="2" t="str">
        <f t="shared" si="2"/>
        <v>张</v>
      </c>
      <c r="J65" s="23" t="s">
        <v>637</v>
      </c>
      <c r="K65" s="23" t="s">
        <v>638</v>
      </c>
      <c r="L65" s="23" t="s">
        <v>560</v>
      </c>
      <c r="M65" s="23" t="s">
        <v>556</v>
      </c>
    </row>
    <row r="66" spans="1:13" x14ac:dyDescent="0.2">
      <c r="A66" s="4" t="s">
        <v>167</v>
      </c>
      <c r="B66" s="5">
        <v>721.19</v>
      </c>
      <c r="C66" s="6" t="s">
        <v>6</v>
      </c>
      <c r="D66" s="4"/>
      <c r="E66" s="4" t="s">
        <v>165</v>
      </c>
      <c r="F66" s="2" t="str">
        <f t="shared" si="0"/>
        <v>天然木皮 榆木山纹 2800mm Y 7色号</v>
      </c>
      <c r="G66" s="2" t="str">
        <f t="shared" si="1"/>
        <v>2800mm</v>
      </c>
      <c r="H66" s="2" t="str">
        <f t="shared" si="2"/>
        <v>平方米</v>
      </c>
      <c r="J66" s="23" t="s">
        <v>639</v>
      </c>
      <c r="K66" s="23" t="s">
        <v>638</v>
      </c>
      <c r="L66" s="23" t="s">
        <v>560</v>
      </c>
      <c r="M66" s="23" t="s">
        <v>556</v>
      </c>
    </row>
    <row r="67" spans="1:13" x14ac:dyDescent="0.2">
      <c r="A67" s="4" t="s">
        <v>168</v>
      </c>
      <c r="B67" s="5">
        <v>502.97</v>
      </c>
      <c r="C67" s="6" t="s">
        <v>6</v>
      </c>
      <c r="D67" s="4"/>
      <c r="E67" s="4" t="s">
        <v>165</v>
      </c>
      <c r="F67" s="2" t="str">
        <f t="shared" ref="F67:F102" si="3">VLOOKUP(A67,$J:$M,2,FALSE)</f>
        <v>天然木皮 榆木山纹 2800mm G 9色号</v>
      </c>
      <c r="G67" s="2" t="str">
        <f t="shared" ref="G67:G102" si="4">VLOOKUP(A67,$J:$M,3,FALSE)</f>
        <v>2800mm</v>
      </c>
      <c r="H67" s="2" t="str">
        <f t="shared" ref="H67:H102" si="5">VLOOKUP(A67,$J:$M,4,FALSE)</f>
        <v>平方米</v>
      </c>
      <c r="J67" s="23" t="s">
        <v>640</v>
      </c>
      <c r="K67" s="23" t="s">
        <v>638</v>
      </c>
      <c r="L67" s="23" t="s">
        <v>560</v>
      </c>
      <c r="M67" s="23" t="s">
        <v>556</v>
      </c>
    </row>
    <row r="68" spans="1:13" x14ac:dyDescent="0.2">
      <c r="A68" s="4" t="s">
        <v>169</v>
      </c>
      <c r="B68" s="5">
        <v>428.98</v>
      </c>
      <c r="C68" s="6" t="s">
        <v>6</v>
      </c>
      <c r="D68" s="4"/>
      <c r="E68" s="4" t="s">
        <v>165</v>
      </c>
      <c r="F68" s="2" t="str">
        <f t="shared" si="3"/>
        <v>天然木皮 榆木山纹 2800mm R9色号</v>
      </c>
      <c r="G68" s="2" t="str">
        <f t="shared" si="4"/>
        <v>2800mm</v>
      </c>
      <c r="H68" s="2" t="str">
        <f t="shared" si="5"/>
        <v>张</v>
      </c>
      <c r="J68" s="23" t="s">
        <v>641</v>
      </c>
      <c r="K68" s="23" t="s">
        <v>638</v>
      </c>
      <c r="L68" s="23" t="s">
        <v>560</v>
      </c>
      <c r="M68" s="23" t="s">
        <v>556</v>
      </c>
    </row>
    <row r="69" spans="1:13" x14ac:dyDescent="0.2">
      <c r="A69" s="4" t="s">
        <v>170</v>
      </c>
      <c r="B69" s="5">
        <v>355.94</v>
      </c>
      <c r="C69" s="6" t="s">
        <v>6</v>
      </c>
      <c r="D69" s="4"/>
      <c r="E69" s="4" t="s">
        <v>165</v>
      </c>
      <c r="F69" s="2" t="str">
        <f t="shared" si="3"/>
        <v>天然木皮 榆木山纹 2800mm R 7色号</v>
      </c>
      <c r="G69" s="2" t="str">
        <f t="shared" si="4"/>
        <v>2800mm</v>
      </c>
      <c r="H69" s="2" t="str">
        <f t="shared" si="5"/>
        <v>张</v>
      </c>
      <c r="J69" s="23" t="s">
        <v>642</v>
      </c>
      <c r="K69" s="23" t="s">
        <v>643</v>
      </c>
      <c r="L69" s="23" t="s">
        <v>560</v>
      </c>
      <c r="M69" s="23" t="s">
        <v>556</v>
      </c>
    </row>
    <row r="70" spans="1:13" x14ac:dyDescent="0.2">
      <c r="A70" s="4" t="s">
        <v>171</v>
      </c>
      <c r="B70" s="5">
        <v>41.68</v>
      </c>
      <c r="C70" s="6" t="s">
        <v>6</v>
      </c>
      <c r="D70" s="4"/>
      <c r="E70" s="4" t="s">
        <v>165</v>
      </c>
      <c r="F70" s="2" t="str">
        <f t="shared" si="3"/>
        <v>天然木皮 榆木山纹 2800mm Y 5色号</v>
      </c>
      <c r="G70" s="2" t="str">
        <f t="shared" si="4"/>
        <v>2800mm</v>
      </c>
      <c r="H70" s="2" t="str">
        <f t="shared" si="5"/>
        <v>张</v>
      </c>
      <c r="J70" s="23" t="s">
        <v>644</v>
      </c>
      <c r="K70" s="23" t="s">
        <v>643</v>
      </c>
      <c r="L70" s="23" t="s">
        <v>560</v>
      </c>
      <c r="M70" s="23" t="s">
        <v>556</v>
      </c>
    </row>
    <row r="71" spans="1:13" x14ac:dyDescent="0.2">
      <c r="A71" s="4" t="s">
        <v>172</v>
      </c>
      <c r="B71" s="5">
        <v>320.26</v>
      </c>
      <c r="C71" s="6" t="s">
        <v>6</v>
      </c>
      <c r="D71" s="4"/>
      <c r="E71" s="4" t="s">
        <v>165</v>
      </c>
      <c r="F71" s="2" t="str">
        <f t="shared" si="3"/>
        <v>天然木皮 榆木山纹 2800mm R3色号</v>
      </c>
      <c r="G71" s="2" t="str">
        <f t="shared" si="4"/>
        <v>2800mm</v>
      </c>
      <c r="H71" s="2" t="str">
        <f t="shared" si="5"/>
        <v>平方米</v>
      </c>
      <c r="J71" s="23" t="s">
        <v>645</v>
      </c>
      <c r="K71" s="23" t="s">
        <v>643</v>
      </c>
      <c r="L71" s="23" t="s">
        <v>560</v>
      </c>
      <c r="M71" s="23" t="s">
        <v>556</v>
      </c>
    </row>
    <row r="72" spans="1:13" x14ac:dyDescent="0.2">
      <c r="A72" s="4" t="s">
        <v>173</v>
      </c>
      <c r="B72" s="5">
        <v>385.16</v>
      </c>
      <c r="C72" s="6" t="s">
        <v>6</v>
      </c>
      <c r="D72" s="4"/>
      <c r="E72" s="4" t="s">
        <v>165</v>
      </c>
      <c r="F72" s="2" t="str">
        <f t="shared" si="3"/>
        <v>天然木皮 尤加利直纹 2800mm R9色号</v>
      </c>
      <c r="G72" s="2" t="str">
        <f t="shared" si="4"/>
        <v>2800mm</v>
      </c>
      <c r="H72" s="2" t="str">
        <f t="shared" si="5"/>
        <v>张</v>
      </c>
      <c r="J72" s="23" t="s">
        <v>646</v>
      </c>
      <c r="K72" s="23" t="s">
        <v>643</v>
      </c>
      <c r="L72" s="23" t="s">
        <v>560</v>
      </c>
      <c r="M72" s="23" t="s">
        <v>556</v>
      </c>
    </row>
    <row r="73" spans="1:13" x14ac:dyDescent="0.2">
      <c r="A73" s="4" t="s">
        <v>174</v>
      </c>
      <c r="B73" s="5">
        <v>597.6</v>
      </c>
      <c r="C73" s="6" t="s">
        <v>6</v>
      </c>
      <c r="D73" s="4"/>
      <c r="E73" s="4" t="s">
        <v>165</v>
      </c>
      <c r="F73" s="2" t="str">
        <f t="shared" si="3"/>
        <v>盘点加入20260108</v>
      </c>
      <c r="G73" s="2" t="str">
        <f t="shared" si="4"/>
        <v>NULL</v>
      </c>
      <c r="H73" s="2" t="str">
        <f t="shared" si="5"/>
        <v>平方米</v>
      </c>
      <c r="J73" s="23" t="s">
        <v>647</v>
      </c>
      <c r="K73" s="23" t="s">
        <v>648</v>
      </c>
      <c r="L73" s="23" t="s">
        <v>560</v>
      </c>
      <c r="M73" s="23" t="s">
        <v>556</v>
      </c>
    </row>
    <row r="74" spans="1:13" x14ac:dyDescent="0.2">
      <c r="A74" s="4" t="s">
        <v>175</v>
      </c>
      <c r="B74" s="5">
        <v>61.65</v>
      </c>
      <c r="C74" s="6" t="s">
        <v>6</v>
      </c>
      <c r="D74" s="4"/>
      <c r="E74" s="4" t="s">
        <v>165</v>
      </c>
      <c r="F74" s="2" t="str">
        <f t="shared" si="3"/>
        <v>盘点加入20260108</v>
      </c>
      <c r="G74" s="2" t="str">
        <f t="shared" si="4"/>
        <v>NULL</v>
      </c>
      <c r="H74" s="2" t="str">
        <f t="shared" si="5"/>
        <v>平方米</v>
      </c>
      <c r="J74" s="23" t="s">
        <v>649</v>
      </c>
      <c r="K74" s="23" t="s">
        <v>648</v>
      </c>
      <c r="L74" s="23" t="s">
        <v>560</v>
      </c>
      <c r="M74" s="23" t="s">
        <v>556</v>
      </c>
    </row>
    <row r="75" spans="1:13" x14ac:dyDescent="0.2">
      <c r="A75" s="4" t="s">
        <v>176</v>
      </c>
      <c r="B75" s="5">
        <v>1155.45</v>
      </c>
      <c r="C75" s="6" t="s">
        <v>6</v>
      </c>
      <c r="D75" s="4"/>
      <c r="E75" s="4" t="s">
        <v>165</v>
      </c>
      <c r="F75" s="2" t="str">
        <f t="shared" si="3"/>
        <v>天然木皮 尤加利直纹 2800mm Y 5色号</v>
      </c>
      <c r="G75" s="2" t="str">
        <f t="shared" si="4"/>
        <v>2800mm</v>
      </c>
      <c r="H75" s="2" t="str">
        <f t="shared" si="5"/>
        <v>张</v>
      </c>
      <c r="J75" s="23" t="s">
        <v>650</v>
      </c>
      <c r="K75" s="23" t="s">
        <v>648</v>
      </c>
      <c r="L75" s="23" t="s">
        <v>560</v>
      </c>
      <c r="M75" s="23" t="s">
        <v>556</v>
      </c>
    </row>
    <row r="76" spans="1:13" x14ac:dyDescent="0.2">
      <c r="A76" s="4" t="s">
        <v>177</v>
      </c>
      <c r="B76" s="5">
        <v>550.04</v>
      </c>
      <c r="C76" s="6" t="s">
        <v>6</v>
      </c>
      <c r="D76" s="4"/>
      <c r="E76" s="4" t="s">
        <v>165</v>
      </c>
      <c r="F76" s="2" t="str">
        <f t="shared" si="3"/>
        <v>盘点加入20260108</v>
      </c>
      <c r="G76" s="2" t="str">
        <f t="shared" si="4"/>
        <v>NULL</v>
      </c>
      <c r="H76" s="2" t="str">
        <f t="shared" si="5"/>
        <v>平方米</v>
      </c>
      <c r="J76" s="23" t="s">
        <v>651</v>
      </c>
      <c r="K76" s="23" t="s">
        <v>648</v>
      </c>
      <c r="L76" s="23" t="s">
        <v>560</v>
      </c>
      <c r="M76" s="23" t="s">
        <v>556</v>
      </c>
    </row>
    <row r="77" spans="1:13" x14ac:dyDescent="0.2">
      <c r="A77" s="4" t="s">
        <v>176</v>
      </c>
      <c r="B77" s="5">
        <v>74.14</v>
      </c>
      <c r="C77" s="6" t="s">
        <v>6</v>
      </c>
      <c r="D77" s="4"/>
      <c r="E77" s="4" t="s">
        <v>165</v>
      </c>
      <c r="F77" s="2" t="str">
        <f t="shared" si="3"/>
        <v>天然木皮 尤加利直纹 2800mm Y 5色号</v>
      </c>
      <c r="G77" s="2" t="str">
        <f t="shared" si="4"/>
        <v>2800mm</v>
      </c>
      <c r="H77" s="2" t="str">
        <f t="shared" si="5"/>
        <v>张</v>
      </c>
      <c r="J77" s="23" t="s">
        <v>652</v>
      </c>
      <c r="K77" s="23" t="s">
        <v>653</v>
      </c>
      <c r="L77" s="23" t="s">
        <v>560</v>
      </c>
      <c r="M77" s="23" t="s">
        <v>556</v>
      </c>
    </row>
    <row r="78" spans="1:13" x14ac:dyDescent="0.2">
      <c r="A78" s="4" t="s">
        <v>174</v>
      </c>
      <c r="B78" s="5">
        <v>293.41000000000003</v>
      </c>
      <c r="C78" s="6" t="s">
        <v>6</v>
      </c>
      <c r="D78" s="4"/>
      <c r="E78" s="4" t="s">
        <v>165</v>
      </c>
      <c r="F78" s="2" t="str">
        <f t="shared" si="3"/>
        <v>盘点加入20260108</v>
      </c>
      <c r="G78" s="2" t="str">
        <f t="shared" si="4"/>
        <v>NULL</v>
      </c>
      <c r="H78" s="2" t="str">
        <f t="shared" si="5"/>
        <v>平方米</v>
      </c>
      <c r="J78" s="23" t="s">
        <v>654</v>
      </c>
      <c r="K78" s="23" t="s">
        <v>653</v>
      </c>
      <c r="L78" s="23" t="s">
        <v>560</v>
      </c>
      <c r="M78" s="23" t="s">
        <v>556</v>
      </c>
    </row>
    <row r="79" spans="1:13" x14ac:dyDescent="0.2">
      <c r="A79" s="4" t="s">
        <v>178</v>
      </c>
      <c r="B79" s="5">
        <v>203.87</v>
      </c>
      <c r="C79" s="7" t="s">
        <v>11</v>
      </c>
      <c r="D79" s="4"/>
      <c r="E79" s="4" t="s">
        <v>165</v>
      </c>
      <c r="F79" s="2" t="s">
        <v>1198</v>
      </c>
      <c r="G79" s="23" t="s">
        <v>844</v>
      </c>
      <c r="H79" s="23" t="s">
        <v>556</v>
      </c>
      <c r="J79" s="23" t="s">
        <v>655</v>
      </c>
      <c r="K79" s="23" t="s">
        <v>653</v>
      </c>
      <c r="L79" s="23" t="s">
        <v>560</v>
      </c>
      <c r="M79" s="23" t="s">
        <v>556</v>
      </c>
    </row>
    <row r="80" spans="1:13" x14ac:dyDescent="0.2">
      <c r="A80" s="4" t="s">
        <v>179</v>
      </c>
      <c r="B80" s="5">
        <v>243.77</v>
      </c>
      <c r="C80" s="7" t="s">
        <v>11</v>
      </c>
      <c r="D80" s="4"/>
      <c r="E80" s="4" t="s">
        <v>165</v>
      </c>
      <c r="F80" s="2" t="s">
        <v>1198</v>
      </c>
      <c r="G80" s="23" t="s">
        <v>844</v>
      </c>
      <c r="H80" s="23" t="s">
        <v>556</v>
      </c>
      <c r="J80" s="23" t="s">
        <v>656</v>
      </c>
      <c r="K80" s="23" t="s">
        <v>653</v>
      </c>
      <c r="L80" s="23" t="s">
        <v>560</v>
      </c>
      <c r="M80" s="23" t="s">
        <v>556</v>
      </c>
    </row>
    <row r="81" spans="1:13" x14ac:dyDescent="0.2">
      <c r="A81" s="4" t="s">
        <v>158</v>
      </c>
      <c r="B81" s="5">
        <v>51</v>
      </c>
      <c r="C81" s="6" t="s">
        <v>6</v>
      </c>
      <c r="D81" s="4"/>
      <c r="E81" s="4" t="s">
        <v>180</v>
      </c>
      <c r="F81" s="2" t="str">
        <f t="shared" si="3"/>
        <v>天然木皮 胡桃木山纹 2800mm Y 3色号</v>
      </c>
      <c r="G81" s="2" t="str">
        <f t="shared" si="4"/>
        <v>2800mm</v>
      </c>
      <c r="H81" s="2" t="str">
        <f t="shared" si="5"/>
        <v>张</v>
      </c>
      <c r="J81" s="23" t="s">
        <v>657</v>
      </c>
      <c r="K81" s="23" t="s">
        <v>658</v>
      </c>
      <c r="L81" s="23" t="s">
        <v>560</v>
      </c>
      <c r="M81" s="23" t="s">
        <v>556</v>
      </c>
    </row>
    <row r="82" spans="1:13" x14ac:dyDescent="0.2">
      <c r="A82" s="4" t="s">
        <v>138</v>
      </c>
      <c r="B82" s="5">
        <v>111.9</v>
      </c>
      <c r="C82" s="6" t="s">
        <v>6</v>
      </c>
      <c r="D82" s="4"/>
      <c r="E82" s="4" t="s">
        <v>180</v>
      </c>
      <c r="F82" s="2" t="str">
        <f t="shared" si="3"/>
        <v>天然木皮 白橡直纹 2800mm Y 3色号</v>
      </c>
      <c r="G82" s="2" t="str">
        <f t="shared" si="4"/>
        <v>2800mm</v>
      </c>
      <c r="H82" s="2" t="str">
        <f t="shared" si="5"/>
        <v>平方米</v>
      </c>
      <c r="J82" s="23" t="s">
        <v>659</v>
      </c>
      <c r="K82" s="23" t="s">
        <v>658</v>
      </c>
      <c r="L82" s="23" t="s">
        <v>560</v>
      </c>
      <c r="M82" s="23" t="s">
        <v>556</v>
      </c>
    </row>
    <row r="83" spans="1:13" x14ac:dyDescent="0.2">
      <c r="A83" s="4" t="s">
        <v>136</v>
      </c>
      <c r="B83" s="5">
        <v>76.040000000000006</v>
      </c>
      <c r="C83" s="6" t="s">
        <v>6</v>
      </c>
      <c r="D83" s="4"/>
      <c r="E83" s="4" t="s">
        <v>180</v>
      </c>
      <c r="F83" s="2" t="str">
        <f t="shared" si="3"/>
        <v>盘点加入20260108</v>
      </c>
      <c r="G83" s="2" t="str">
        <f t="shared" si="4"/>
        <v>NULL</v>
      </c>
      <c r="H83" s="2" t="str">
        <f t="shared" si="5"/>
        <v>平方米</v>
      </c>
      <c r="J83" s="23" t="s">
        <v>660</v>
      </c>
      <c r="K83" s="23" t="s">
        <v>658</v>
      </c>
      <c r="L83" s="23" t="s">
        <v>560</v>
      </c>
      <c r="M83" s="23" t="s">
        <v>556</v>
      </c>
    </row>
    <row r="84" spans="1:13" x14ac:dyDescent="0.2">
      <c r="A84" s="4" t="s">
        <v>181</v>
      </c>
      <c r="B84" s="5">
        <v>96.55</v>
      </c>
      <c r="C84" s="6" t="s">
        <v>6</v>
      </c>
      <c r="D84" s="4"/>
      <c r="E84" s="4" t="s">
        <v>180</v>
      </c>
      <c r="F84" s="2" t="str">
        <f t="shared" si="3"/>
        <v>天然木皮 白橡直纹 2800mm R 9色号</v>
      </c>
      <c r="G84" s="2" t="str">
        <f t="shared" si="4"/>
        <v>2800mm</v>
      </c>
      <c r="H84" s="2" t="str">
        <f t="shared" si="5"/>
        <v>张</v>
      </c>
      <c r="J84" s="23" t="s">
        <v>661</v>
      </c>
      <c r="K84" s="23" t="s">
        <v>658</v>
      </c>
      <c r="L84" s="23" t="s">
        <v>560</v>
      </c>
      <c r="M84" s="23" t="s">
        <v>556</v>
      </c>
    </row>
    <row r="85" spans="1:13" x14ac:dyDescent="0.2">
      <c r="A85" s="4" t="s">
        <v>135</v>
      </c>
      <c r="B85" s="5">
        <v>302.08999999999997</v>
      </c>
      <c r="C85" s="6" t="s">
        <v>6</v>
      </c>
      <c r="D85" s="4"/>
      <c r="E85" s="4" t="s">
        <v>180</v>
      </c>
      <c r="F85" s="2" t="str">
        <f t="shared" si="3"/>
        <v>天然木皮 白橡直纹 2800mm R3色号</v>
      </c>
      <c r="G85" s="2" t="str">
        <f t="shared" si="4"/>
        <v>2800mm</v>
      </c>
      <c r="H85" s="2" t="str">
        <f t="shared" si="5"/>
        <v>平方米</v>
      </c>
      <c r="J85" s="23" t="s">
        <v>662</v>
      </c>
      <c r="K85" s="23" t="s">
        <v>663</v>
      </c>
      <c r="L85" s="23" t="s">
        <v>560</v>
      </c>
      <c r="M85" s="23" t="s">
        <v>556</v>
      </c>
    </row>
    <row r="86" spans="1:13" x14ac:dyDescent="0.2">
      <c r="A86" s="4" t="s">
        <v>132</v>
      </c>
      <c r="B86" s="5">
        <v>234.7</v>
      </c>
      <c r="C86" s="6" t="s">
        <v>6</v>
      </c>
      <c r="D86" s="4"/>
      <c r="E86" s="4" t="s">
        <v>180</v>
      </c>
      <c r="F86" s="2" t="str">
        <f t="shared" si="3"/>
        <v>天然木皮 白橡直纹 2800mm R 5色号</v>
      </c>
      <c r="G86" s="2" t="str">
        <f t="shared" si="4"/>
        <v>2800mm</v>
      </c>
      <c r="H86" s="2" t="str">
        <f t="shared" si="5"/>
        <v>平方米</v>
      </c>
      <c r="J86" s="23" t="s">
        <v>664</v>
      </c>
      <c r="K86" s="23" t="s">
        <v>663</v>
      </c>
      <c r="L86" s="23" t="s">
        <v>560</v>
      </c>
      <c r="M86" s="23" t="s">
        <v>556</v>
      </c>
    </row>
    <row r="87" spans="1:13" x14ac:dyDescent="0.2">
      <c r="A87" s="4" t="s">
        <v>134</v>
      </c>
      <c r="B87" s="5">
        <v>286.02999999999997</v>
      </c>
      <c r="C87" s="6" t="s">
        <v>6</v>
      </c>
      <c r="D87" s="4"/>
      <c r="E87" s="4" t="s">
        <v>180</v>
      </c>
      <c r="F87" s="2" t="str">
        <f t="shared" si="3"/>
        <v>天然木皮 白橡直纹 2800mm Y5色号</v>
      </c>
      <c r="G87" s="2" t="str">
        <f t="shared" si="4"/>
        <v>2800mm</v>
      </c>
      <c r="H87" s="2" t="str">
        <f t="shared" si="5"/>
        <v>平方米</v>
      </c>
      <c r="J87" s="23" t="s">
        <v>665</v>
      </c>
      <c r="K87" s="23" t="s">
        <v>666</v>
      </c>
      <c r="L87" s="23" t="s">
        <v>560</v>
      </c>
      <c r="M87" s="23" t="s">
        <v>556</v>
      </c>
    </row>
    <row r="88" spans="1:13" x14ac:dyDescent="0.2">
      <c r="A88" s="4" t="s">
        <v>152</v>
      </c>
      <c r="B88" s="5">
        <v>115.6</v>
      </c>
      <c r="C88" s="6" t="s">
        <v>6</v>
      </c>
      <c r="D88" s="4"/>
      <c r="E88" s="4" t="s">
        <v>180</v>
      </c>
      <c r="F88" s="2" t="str">
        <f t="shared" si="3"/>
        <v>天然木皮 红橡直纹 2800mm R7色号</v>
      </c>
      <c r="G88" s="2" t="str">
        <f t="shared" si="4"/>
        <v>2800mm</v>
      </c>
      <c r="H88" s="2" t="str">
        <f t="shared" si="5"/>
        <v>张</v>
      </c>
      <c r="J88" s="23" t="s">
        <v>667</v>
      </c>
      <c r="K88" s="23" t="s">
        <v>666</v>
      </c>
      <c r="L88" s="23" t="s">
        <v>560</v>
      </c>
      <c r="M88" s="23" t="s">
        <v>556</v>
      </c>
    </row>
    <row r="89" spans="1:13" x14ac:dyDescent="0.2">
      <c r="A89" s="4" t="s">
        <v>182</v>
      </c>
      <c r="B89" s="5">
        <v>200</v>
      </c>
      <c r="C89" s="6" t="s">
        <v>6</v>
      </c>
      <c r="D89" s="4"/>
      <c r="E89" s="4" t="s">
        <v>180</v>
      </c>
      <c r="F89" s="2" t="str">
        <f t="shared" si="3"/>
        <v>天然木皮 红橡直纹 2800mm R 9色号</v>
      </c>
      <c r="G89" s="2" t="str">
        <f t="shared" si="4"/>
        <v>2800mm</v>
      </c>
      <c r="H89" s="2" t="str">
        <f t="shared" si="5"/>
        <v>张</v>
      </c>
      <c r="J89" s="23" t="s">
        <v>668</v>
      </c>
      <c r="K89" s="23" t="s">
        <v>669</v>
      </c>
      <c r="L89" s="23" t="s">
        <v>560</v>
      </c>
      <c r="M89" s="23" t="s">
        <v>556</v>
      </c>
    </row>
    <row r="90" spans="1:13" x14ac:dyDescent="0.2">
      <c r="A90" s="4" t="s">
        <v>150</v>
      </c>
      <c r="B90" s="5">
        <v>181.89</v>
      </c>
      <c r="C90" s="6" t="s">
        <v>6</v>
      </c>
      <c r="D90" s="4"/>
      <c r="E90" s="4" t="s">
        <v>180</v>
      </c>
      <c r="F90" s="2" t="str">
        <f t="shared" si="3"/>
        <v>天然木皮 红橡直纹 2800mm Y7色号</v>
      </c>
      <c r="G90" s="2" t="str">
        <f t="shared" si="4"/>
        <v>2800mm</v>
      </c>
      <c r="H90" s="2" t="str">
        <f t="shared" si="5"/>
        <v>张</v>
      </c>
      <c r="J90" s="23" t="s">
        <v>670</v>
      </c>
      <c r="K90" s="23" t="s">
        <v>669</v>
      </c>
      <c r="L90" s="23" t="s">
        <v>560</v>
      </c>
      <c r="M90" s="23" t="s">
        <v>556</v>
      </c>
    </row>
    <row r="91" spans="1:13" x14ac:dyDescent="0.2">
      <c r="A91" s="4" t="s">
        <v>125</v>
      </c>
      <c r="B91" s="5">
        <v>383.96</v>
      </c>
      <c r="C91" s="6" t="s">
        <v>6</v>
      </c>
      <c r="D91" s="4"/>
      <c r="E91" s="4" t="s">
        <v>180</v>
      </c>
      <c r="F91" s="2" t="str">
        <f t="shared" si="3"/>
        <v>天然木皮 白橡山纹 2800mm R 7色号</v>
      </c>
      <c r="G91" s="2" t="str">
        <f t="shared" si="4"/>
        <v>2800mm</v>
      </c>
      <c r="H91" s="2" t="str">
        <f t="shared" si="5"/>
        <v>平方米</v>
      </c>
      <c r="J91" s="23" t="s">
        <v>671</v>
      </c>
      <c r="K91" s="23" t="s">
        <v>672</v>
      </c>
      <c r="L91" s="23" t="s">
        <v>560</v>
      </c>
      <c r="M91" s="23" t="s">
        <v>556</v>
      </c>
    </row>
    <row r="92" spans="1:13" x14ac:dyDescent="0.2">
      <c r="A92" s="4" t="s">
        <v>128</v>
      </c>
      <c r="B92" s="5">
        <v>200</v>
      </c>
      <c r="C92" s="6" t="s">
        <v>6</v>
      </c>
      <c r="D92" s="4"/>
      <c r="E92" s="4" t="s">
        <v>180</v>
      </c>
      <c r="F92" s="2" t="str">
        <f t="shared" si="3"/>
        <v>天然木皮 白橡山纹 2800mm Y7色号</v>
      </c>
      <c r="G92" s="2" t="str">
        <f t="shared" si="4"/>
        <v>2800mm</v>
      </c>
      <c r="H92" s="2" t="str">
        <f t="shared" si="5"/>
        <v>平方米</v>
      </c>
      <c r="J92" s="23" t="s">
        <v>673</v>
      </c>
      <c r="K92" s="23" t="s">
        <v>672</v>
      </c>
      <c r="L92" s="23" t="s">
        <v>560</v>
      </c>
      <c r="M92" s="23" t="s">
        <v>556</v>
      </c>
    </row>
    <row r="93" spans="1:13" x14ac:dyDescent="0.2">
      <c r="A93" s="4" t="s">
        <v>123</v>
      </c>
      <c r="B93" s="5">
        <v>200</v>
      </c>
      <c r="C93" s="6" t="s">
        <v>6</v>
      </c>
      <c r="D93" s="4"/>
      <c r="E93" s="4" t="s">
        <v>180</v>
      </c>
      <c r="F93" s="2" t="str">
        <f t="shared" si="3"/>
        <v>天然木皮 白橡山纹 2800mm R5色号</v>
      </c>
      <c r="G93" s="2" t="str">
        <f t="shared" si="4"/>
        <v>2800mm</v>
      </c>
      <c r="H93" s="2" t="str">
        <f t="shared" si="5"/>
        <v>平方米</v>
      </c>
      <c r="J93" s="23" t="s">
        <v>674</v>
      </c>
      <c r="K93" s="23" t="s">
        <v>672</v>
      </c>
      <c r="L93" s="23" t="s">
        <v>560</v>
      </c>
      <c r="M93" s="23" t="s">
        <v>556</v>
      </c>
    </row>
    <row r="94" spans="1:13" x14ac:dyDescent="0.2">
      <c r="A94" s="4" t="s">
        <v>128</v>
      </c>
      <c r="B94" s="5">
        <v>210.4</v>
      </c>
      <c r="C94" s="6" t="s">
        <v>6</v>
      </c>
      <c r="D94" s="4"/>
      <c r="E94" s="4" t="s">
        <v>180</v>
      </c>
      <c r="F94" s="2" t="str">
        <f t="shared" si="3"/>
        <v>天然木皮 白橡山纹 2800mm Y7色号</v>
      </c>
      <c r="G94" s="2" t="str">
        <f t="shared" si="4"/>
        <v>2800mm</v>
      </c>
      <c r="H94" s="2" t="str">
        <f t="shared" si="5"/>
        <v>平方米</v>
      </c>
      <c r="J94" s="23" t="s">
        <v>675</v>
      </c>
      <c r="K94" s="23" t="s">
        <v>676</v>
      </c>
      <c r="L94" s="23" t="s">
        <v>560</v>
      </c>
      <c r="M94" s="23" t="s">
        <v>556</v>
      </c>
    </row>
    <row r="95" spans="1:13" x14ac:dyDescent="0.2">
      <c r="A95" s="4" t="s">
        <v>126</v>
      </c>
      <c r="B95" s="5">
        <v>130.69999999999999</v>
      </c>
      <c r="C95" s="6" t="s">
        <v>6</v>
      </c>
      <c r="D95" s="4"/>
      <c r="E95" s="4" t="s">
        <v>180</v>
      </c>
      <c r="F95" s="2" t="str">
        <f t="shared" si="3"/>
        <v>天然木皮 白橡山纹 2800mm R9色号</v>
      </c>
      <c r="G95" s="2" t="str">
        <f t="shared" si="4"/>
        <v>2800mm</v>
      </c>
      <c r="H95" s="2" t="str">
        <f t="shared" si="5"/>
        <v>张</v>
      </c>
      <c r="J95" s="23" t="s">
        <v>677</v>
      </c>
      <c r="K95" s="23" t="s">
        <v>676</v>
      </c>
      <c r="L95" s="23" t="s">
        <v>560</v>
      </c>
      <c r="M95" s="23" t="s">
        <v>556</v>
      </c>
    </row>
    <row r="96" spans="1:13" x14ac:dyDescent="0.2">
      <c r="A96" s="16" t="s">
        <v>533</v>
      </c>
      <c r="B96" s="5">
        <v>183.37</v>
      </c>
      <c r="C96" s="6" t="s">
        <v>6</v>
      </c>
      <c r="D96" s="4" t="s">
        <v>18</v>
      </c>
      <c r="E96" s="4" t="s">
        <v>180</v>
      </c>
      <c r="F96" s="2" t="str">
        <f t="shared" si="3"/>
        <v>天然木皮 胡桃木山纹 2800mm R5色号</v>
      </c>
      <c r="G96" s="2" t="str">
        <f t="shared" si="4"/>
        <v>2800mm</v>
      </c>
      <c r="H96" s="2" t="str">
        <f t="shared" si="5"/>
        <v>平方米</v>
      </c>
      <c r="J96" s="23" t="s">
        <v>678</v>
      </c>
      <c r="K96" s="23" t="s">
        <v>676</v>
      </c>
      <c r="L96" s="23" t="s">
        <v>560</v>
      </c>
      <c r="M96" s="23" t="s">
        <v>556</v>
      </c>
    </row>
    <row r="97" spans="1:13" x14ac:dyDescent="0.2">
      <c r="A97" s="4" t="s">
        <v>183</v>
      </c>
      <c r="B97" s="5">
        <v>793.96</v>
      </c>
      <c r="C97" s="6" t="s">
        <v>6</v>
      </c>
      <c r="D97" s="4"/>
      <c r="E97" s="4" t="s">
        <v>180</v>
      </c>
      <c r="F97" s="2" t="str">
        <f t="shared" si="3"/>
        <v>天然木皮 胡桃木山纹 2800mm R 7色号</v>
      </c>
      <c r="G97" s="2" t="str">
        <f t="shared" si="4"/>
        <v>2800mm</v>
      </c>
      <c r="H97" s="2" t="str">
        <f t="shared" si="5"/>
        <v>平方米</v>
      </c>
      <c r="J97" s="23" t="s">
        <v>679</v>
      </c>
      <c r="K97" s="23" t="s">
        <v>680</v>
      </c>
      <c r="L97" s="23" t="s">
        <v>560</v>
      </c>
      <c r="M97" s="23" t="s">
        <v>556</v>
      </c>
    </row>
    <row r="98" spans="1:13" x14ac:dyDescent="0.2">
      <c r="A98" s="16" t="s">
        <v>534</v>
      </c>
      <c r="B98" s="5">
        <v>41.66</v>
      </c>
      <c r="C98" s="6" t="s">
        <v>6</v>
      </c>
      <c r="D98" s="4" t="s">
        <v>18</v>
      </c>
      <c r="E98" s="4" t="s">
        <v>180</v>
      </c>
      <c r="F98" s="2" t="str">
        <f t="shared" si="3"/>
        <v>天然木皮  黑胡桃山纹  2800mm Y1色号</v>
      </c>
      <c r="G98" s="2" t="str">
        <f t="shared" si="4"/>
        <v>2800mm</v>
      </c>
      <c r="H98" s="2" t="str">
        <f t="shared" si="5"/>
        <v>平方米</v>
      </c>
      <c r="J98" s="23" t="s">
        <v>681</v>
      </c>
      <c r="K98" s="23" t="s">
        <v>680</v>
      </c>
      <c r="L98" s="23" t="s">
        <v>560</v>
      </c>
      <c r="M98" s="23" t="s">
        <v>556</v>
      </c>
    </row>
    <row r="99" spans="1:13" x14ac:dyDescent="0.2">
      <c r="A99" s="4" t="s">
        <v>184</v>
      </c>
      <c r="B99" s="5">
        <v>839.74</v>
      </c>
      <c r="C99" s="6" t="s">
        <v>6</v>
      </c>
      <c r="D99" s="4"/>
      <c r="E99" s="4" t="s">
        <v>180</v>
      </c>
      <c r="F99" s="2" t="str">
        <f t="shared" si="3"/>
        <v>天然木皮 胡桃木山纹 2800mm R5色号</v>
      </c>
      <c r="G99" s="2" t="str">
        <f t="shared" si="4"/>
        <v>2800mm</v>
      </c>
      <c r="H99" s="2" t="str">
        <f t="shared" si="5"/>
        <v>平方米</v>
      </c>
      <c r="J99" s="23" t="s">
        <v>682</v>
      </c>
      <c r="K99" s="23" t="s">
        <v>680</v>
      </c>
      <c r="L99" s="23" t="s">
        <v>560</v>
      </c>
      <c r="M99" s="23" t="s">
        <v>556</v>
      </c>
    </row>
    <row r="100" spans="1:13" x14ac:dyDescent="0.2">
      <c r="A100" s="4" t="s">
        <v>185</v>
      </c>
      <c r="B100" s="5">
        <v>61.2</v>
      </c>
      <c r="C100" s="6" t="s">
        <v>6</v>
      </c>
      <c r="D100" s="4"/>
      <c r="E100" s="4" t="s">
        <v>180</v>
      </c>
      <c r="F100" s="2" t="str">
        <f t="shared" si="3"/>
        <v>天然木皮 红橡山纹 2800mm R 9色号</v>
      </c>
      <c r="G100" s="2" t="str">
        <f t="shared" si="4"/>
        <v>2800mm</v>
      </c>
      <c r="H100" s="2" t="str">
        <f t="shared" si="5"/>
        <v>张</v>
      </c>
      <c r="J100" s="23" t="s">
        <v>683</v>
      </c>
      <c r="K100" s="23" t="s">
        <v>684</v>
      </c>
      <c r="L100" s="23" t="s">
        <v>560</v>
      </c>
      <c r="M100" s="23" t="s">
        <v>556</v>
      </c>
    </row>
    <row r="101" spans="1:13" x14ac:dyDescent="0.2">
      <c r="A101" s="4" t="s">
        <v>185</v>
      </c>
      <c r="B101" s="5">
        <v>25.6</v>
      </c>
      <c r="C101" s="6" t="s">
        <v>6</v>
      </c>
      <c r="D101" s="4"/>
      <c r="E101" s="4" t="s">
        <v>180</v>
      </c>
      <c r="F101" s="2" t="str">
        <f t="shared" si="3"/>
        <v>天然木皮 红橡山纹 2800mm R 9色号</v>
      </c>
      <c r="G101" s="2" t="str">
        <f t="shared" si="4"/>
        <v>2800mm</v>
      </c>
      <c r="H101" s="2" t="str">
        <f t="shared" si="5"/>
        <v>张</v>
      </c>
      <c r="J101" s="23" t="s">
        <v>685</v>
      </c>
      <c r="K101" s="23" t="s">
        <v>684</v>
      </c>
      <c r="L101" s="23" t="s">
        <v>560</v>
      </c>
      <c r="M101" s="23" t="s">
        <v>556</v>
      </c>
    </row>
    <row r="102" spans="1:13" x14ac:dyDescent="0.2">
      <c r="A102" s="4" t="s">
        <v>170</v>
      </c>
      <c r="B102" s="5">
        <v>240</v>
      </c>
      <c r="C102" s="6" t="s">
        <v>6</v>
      </c>
      <c r="D102" s="4"/>
      <c r="E102" s="4" t="s">
        <v>180</v>
      </c>
      <c r="F102" s="2" t="str">
        <f t="shared" si="3"/>
        <v>天然木皮 榆木山纹 2800mm R 7色号</v>
      </c>
      <c r="G102" s="2" t="str">
        <f t="shared" si="4"/>
        <v>2800mm</v>
      </c>
      <c r="H102" s="2" t="str">
        <f t="shared" si="5"/>
        <v>张</v>
      </c>
      <c r="J102" s="23" t="s">
        <v>686</v>
      </c>
      <c r="K102" s="23" t="s">
        <v>684</v>
      </c>
      <c r="L102" s="23" t="s">
        <v>560</v>
      </c>
      <c r="M102" s="23" t="s">
        <v>556</v>
      </c>
    </row>
    <row r="103" spans="1:13" x14ac:dyDescent="0.2">
      <c r="J103" s="23" t="s">
        <v>687</v>
      </c>
      <c r="K103" s="23" t="s">
        <v>688</v>
      </c>
      <c r="L103" s="23" t="s">
        <v>560</v>
      </c>
      <c r="M103" s="23" t="s">
        <v>556</v>
      </c>
    </row>
    <row r="104" spans="1:13" x14ac:dyDescent="0.2">
      <c r="J104" s="23" t="s">
        <v>689</v>
      </c>
      <c r="K104" s="23" t="s">
        <v>688</v>
      </c>
      <c r="L104" s="23" t="s">
        <v>560</v>
      </c>
      <c r="M104" s="23" t="s">
        <v>556</v>
      </c>
    </row>
    <row r="105" spans="1:13" x14ac:dyDescent="0.2">
      <c r="J105" s="23" t="s">
        <v>690</v>
      </c>
      <c r="K105" s="23" t="s">
        <v>688</v>
      </c>
      <c r="L105" s="23" t="s">
        <v>560</v>
      </c>
      <c r="M105" s="23" t="s">
        <v>556</v>
      </c>
    </row>
    <row r="106" spans="1:13" x14ac:dyDescent="0.2">
      <c r="J106" s="23" t="s">
        <v>691</v>
      </c>
      <c r="K106" s="23" t="s">
        <v>692</v>
      </c>
      <c r="L106" s="23" t="s">
        <v>560</v>
      </c>
      <c r="M106" s="23" t="s">
        <v>556</v>
      </c>
    </row>
    <row r="107" spans="1:13" x14ac:dyDescent="0.2">
      <c r="J107" s="23" t="s">
        <v>693</v>
      </c>
      <c r="K107" s="23" t="s">
        <v>692</v>
      </c>
      <c r="L107" s="23" t="s">
        <v>560</v>
      </c>
      <c r="M107" s="23" t="s">
        <v>556</v>
      </c>
    </row>
    <row r="108" spans="1:13" x14ac:dyDescent="0.2">
      <c r="J108" s="23" t="s">
        <v>694</v>
      </c>
      <c r="K108" s="23" t="s">
        <v>692</v>
      </c>
      <c r="L108" s="23" t="s">
        <v>560</v>
      </c>
      <c r="M108" s="23" t="s">
        <v>556</v>
      </c>
    </row>
    <row r="109" spans="1:13" x14ac:dyDescent="0.2">
      <c r="J109" s="23" t="s">
        <v>695</v>
      </c>
      <c r="K109" s="23" t="s">
        <v>696</v>
      </c>
      <c r="L109" s="23" t="s">
        <v>697</v>
      </c>
      <c r="M109" s="23" t="s">
        <v>556</v>
      </c>
    </row>
    <row r="110" spans="1:13" x14ac:dyDescent="0.2">
      <c r="J110" s="23" t="s">
        <v>698</v>
      </c>
      <c r="K110" s="23" t="s">
        <v>699</v>
      </c>
      <c r="L110" s="23" t="s">
        <v>697</v>
      </c>
      <c r="M110" s="23" t="s">
        <v>556</v>
      </c>
    </row>
    <row r="111" spans="1:13" x14ac:dyDescent="0.2">
      <c r="J111" s="23" t="s">
        <v>700</v>
      </c>
      <c r="K111" s="23" t="s">
        <v>701</v>
      </c>
      <c r="L111" s="23" t="s">
        <v>697</v>
      </c>
      <c r="M111" s="23" t="s">
        <v>556</v>
      </c>
    </row>
    <row r="112" spans="1:13" x14ac:dyDescent="0.2">
      <c r="J112" s="23" t="s">
        <v>702</v>
      </c>
      <c r="K112" s="23" t="s">
        <v>703</v>
      </c>
      <c r="L112" s="23" t="s">
        <v>697</v>
      </c>
      <c r="M112" s="23" t="s">
        <v>556</v>
      </c>
    </row>
    <row r="113" spans="10:13" x14ac:dyDescent="0.2">
      <c r="J113" s="23" t="s">
        <v>704</v>
      </c>
      <c r="K113" s="23" t="s">
        <v>705</v>
      </c>
      <c r="L113" s="23" t="s">
        <v>697</v>
      </c>
      <c r="M113" s="23" t="s">
        <v>556</v>
      </c>
    </row>
    <row r="114" spans="10:13" x14ac:dyDescent="0.2">
      <c r="J114" s="23" t="s">
        <v>706</v>
      </c>
      <c r="K114" s="23" t="s">
        <v>707</v>
      </c>
      <c r="L114" s="23" t="s">
        <v>697</v>
      </c>
      <c r="M114" s="23" t="s">
        <v>556</v>
      </c>
    </row>
    <row r="115" spans="10:13" x14ac:dyDescent="0.2">
      <c r="J115" s="23" t="s">
        <v>708</v>
      </c>
      <c r="K115" s="23" t="s">
        <v>709</v>
      </c>
      <c r="L115" s="23" t="s">
        <v>697</v>
      </c>
      <c r="M115" s="23" t="s">
        <v>556</v>
      </c>
    </row>
    <row r="116" spans="10:13" x14ac:dyDescent="0.2">
      <c r="J116" s="23" t="s">
        <v>710</v>
      </c>
      <c r="K116" s="23" t="s">
        <v>711</v>
      </c>
      <c r="L116" s="23" t="s">
        <v>697</v>
      </c>
      <c r="M116" s="23" t="s">
        <v>556</v>
      </c>
    </row>
    <row r="117" spans="10:13" x14ac:dyDescent="0.2">
      <c r="J117" s="23" t="s">
        <v>712</v>
      </c>
      <c r="K117" s="23" t="s">
        <v>713</v>
      </c>
      <c r="L117" s="23" t="s">
        <v>697</v>
      </c>
      <c r="M117" s="23" t="s">
        <v>556</v>
      </c>
    </row>
    <row r="118" spans="10:13" x14ac:dyDescent="0.2">
      <c r="J118" s="23" t="s">
        <v>714</v>
      </c>
      <c r="K118" s="23" t="s">
        <v>715</v>
      </c>
      <c r="L118" s="23" t="s">
        <v>697</v>
      </c>
      <c r="M118" s="23" t="s">
        <v>556</v>
      </c>
    </row>
    <row r="119" spans="10:13" x14ac:dyDescent="0.2">
      <c r="J119" s="23" t="s">
        <v>716</v>
      </c>
      <c r="K119" s="23" t="s">
        <v>717</v>
      </c>
      <c r="L119" s="23" t="s">
        <v>697</v>
      </c>
      <c r="M119" s="23" t="s">
        <v>556</v>
      </c>
    </row>
    <row r="120" spans="10:13" x14ac:dyDescent="0.2">
      <c r="J120" s="23" t="s">
        <v>718</v>
      </c>
      <c r="K120" s="23" t="s">
        <v>717</v>
      </c>
      <c r="L120" s="23" t="s">
        <v>697</v>
      </c>
      <c r="M120" s="23" t="s">
        <v>556</v>
      </c>
    </row>
    <row r="121" spans="10:13" x14ac:dyDescent="0.2">
      <c r="J121" s="23" t="s">
        <v>719</v>
      </c>
      <c r="K121" s="23" t="s">
        <v>720</v>
      </c>
      <c r="L121" s="23" t="s">
        <v>697</v>
      </c>
      <c r="M121" s="23" t="s">
        <v>556</v>
      </c>
    </row>
    <row r="122" spans="10:13" x14ac:dyDescent="0.2">
      <c r="J122" s="23" t="s">
        <v>721</v>
      </c>
      <c r="K122" s="23" t="s">
        <v>722</v>
      </c>
      <c r="L122" s="23" t="s">
        <v>697</v>
      </c>
      <c r="M122" s="23" t="s">
        <v>556</v>
      </c>
    </row>
    <row r="123" spans="10:13" x14ac:dyDescent="0.2">
      <c r="J123" s="23" t="s">
        <v>723</v>
      </c>
      <c r="K123" s="23" t="s">
        <v>724</v>
      </c>
      <c r="L123" s="23" t="s">
        <v>697</v>
      </c>
      <c r="M123" s="23" t="s">
        <v>556</v>
      </c>
    </row>
    <row r="124" spans="10:13" x14ac:dyDescent="0.2">
      <c r="J124" s="23" t="s">
        <v>725</v>
      </c>
      <c r="K124" s="23" t="s">
        <v>726</v>
      </c>
      <c r="L124" s="23" t="s">
        <v>697</v>
      </c>
      <c r="M124" s="23" t="s">
        <v>556</v>
      </c>
    </row>
    <row r="125" spans="10:13" x14ac:dyDescent="0.2">
      <c r="J125" s="23" t="s">
        <v>727</v>
      </c>
      <c r="K125" s="23" t="s">
        <v>726</v>
      </c>
      <c r="L125" s="23" t="s">
        <v>697</v>
      </c>
      <c r="M125" s="23" t="s">
        <v>556</v>
      </c>
    </row>
    <row r="126" spans="10:13" x14ac:dyDescent="0.2">
      <c r="J126" s="23" t="s">
        <v>728</v>
      </c>
      <c r="K126" s="23" t="s">
        <v>726</v>
      </c>
      <c r="L126" s="23" t="s">
        <v>697</v>
      </c>
      <c r="M126" s="23" t="s">
        <v>556</v>
      </c>
    </row>
    <row r="127" spans="10:13" x14ac:dyDescent="0.2">
      <c r="J127" s="23" t="s">
        <v>729</v>
      </c>
      <c r="K127" s="23" t="s">
        <v>730</v>
      </c>
      <c r="L127" s="23" t="s">
        <v>697</v>
      </c>
      <c r="M127" s="23" t="s">
        <v>556</v>
      </c>
    </row>
    <row r="128" spans="10:13" x14ac:dyDescent="0.2">
      <c r="J128" s="23" t="s">
        <v>731</v>
      </c>
      <c r="K128" s="23" t="s">
        <v>732</v>
      </c>
      <c r="L128" s="23" t="s">
        <v>697</v>
      </c>
      <c r="M128" s="23" t="s">
        <v>556</v>
      </c>
    </row>
    <row r="129" spans="10:13" x14ac:dyDescent="0.2">
      <c r="J129" s="23" t="s">
        <v>733</v>
      </c>
      <c r="K129" s="23" t="s">
        <v>732</v>
      </c>
      <c r="L129" s="23" t="s">
        <v>697</v>
      </c>
      <c r="M129" s="23" t="s">
        <v>556</v>
      </c>
    </row>
    <row r="130" spans="10:13" x14ac:dyDescent="0.2">
      <c r="J130" s="23" t="s">
        <v>734</v>
      </c>
      <c r="K130" s="23" t="s">
        <v>735</v>
      </c>
      <c r="L130" s="23" t="s">
        <v>697</v>
      </c>
      <c r="M130" s="23" t="s">
        <v>556</v>
      </c>
    </row>
    <row r="131" spans="10:13" x14ac:dyDescent="0.2">
      <c r="J131" s="23" t="s">
        <v>736</v>
      </c>
      <c r="K131" s="23" t="s">
        <v>737</v>
      </c>
      <c r="L131" s="23" t="s">
        <v>697</v>
      </c>
      <c r="M131" s="23" t="s">
        <v>556</v>
      </c>
    </row>
    <row r="132" spans="10:13" x14ac:dyDescent="0.2">
      <c r="J132" s="23" t="s">
        <v>738</v>
      </c>
      <c r="K132" s="23" t="s">
        <v>739</v>
      </c>
      <c r="L132" s="23" t="s">
        <v>697</v>
      </c>
      <c r="M132" s="23" t="s">
        <v>556</v>
      </c>
    </row>
    <row r="133" spans="10:13" x14ac:dyDescent="0.2">
      <c r="J133" s="23" t="s">
        <v>740</v>
      </c>
      <c r="K133" s="23" t="s">
        <v>741</v>
      </c>
      <c r="L133" s="23" t="s">
        <v>697</v>
      </c>
      <c r="M133" s="23" t="s">
        <v>556</v>
      </c>
    </row>
    <row r="134" spans="10:13" x14ac:dyDescent="0.2">
      <c r="J134" s="23" t="s">
        <v>742</v>
      </c>
      <c r="K134" s="23" t="s">
        <v>743</v>
      </c>
      <c r="L134" s="23" t="s">
        <v>697</v>
      </c>
      <c r="M134" s="23" t="s">
        <v>556</v>
      </c>
    </row>
    <row r="135" spans="10:13" x14ac:dyDescent="0.2">
      <c r="J135" s="23" t="s">
        <v>744</v>
      </c>
      <c r="K135" s="23" t="s">
        <v>743</v>
      </c>
      <c r="L135" s="23" t="s">
        <v>697</v>
      </c>
      <c r="M135" s="23" t="s">
        <v>556</v>
      </c>
    </row>
    <row r="136" spans="10:13" x14ac:dyDescent="0.2">
      <c r="J136" s="23" t="s">
        <v>745</v>
      </c>
      <c r="K136" s="23" t="s">
        <v>746</v>
      </c>
      <c r="L136" s="23" t="s">
        <v>697</v>
      </c>
      <c r="M136" s="23" t="s">
        <v>556</v>
      </c>
    </row>
    <row r="137" spans="10:13" x14ac:dyDescent="0.2">
      <c r="J137" s="23" t="s">
        <v>747</v>
      </c>
      <c r="K137" s="23" t="s">
        <v>748</v>
      </c>
      <c r="L137" s="23" t="s">
        <v>697</v>
      </c>
      <c r="M137" s="23" t="s">
        <v>556</v>
      </c>
    </row>
    <row r="138" spans="10:13" x14ac:dyDescent="0.2">
      <c r="J138" s="23" t="s">
        <v>749</v>
      </c>
      <c r="K138" s="23" t="s">
        <v>750</v>
      </c>
      <c r="L138" s="23" t="s">
        <v>697</v>
      </c>
      <c r="M138" s="23" t="s">
        <v>556</v>
      </c>
    </row>
    <row r="139" spans="10:13" x14ac:dyDescent="0.2">
      <c r="J139" s="23" t="s">
        <v>751</v>
      </c>
      <c r="K139" s="23" t="s">
        <v>750</v>
      </c>
      <c r="L139" s="23" t="s">
        <v>697</v>
      </c>
      <c r="M139" s="23" t="s">
        <v>556</v>
      </c>
    </row>
    <row r="140" spans="10:13" x14ac:dyDescent="0.2">
      <c r="J140" s="23" t="s">
        <v>752</v>
      </c>
      <c r="K140" s="23" t="s">
        <v>753</v>
      </c>
      <c r="L140" s="23" t="s">
        <v>697</v>
      </c>
      <c r="M140" s="23" t="s">
        <v>556</v>
      </c>
    </row>
    <row r="141" spans="10:13" x14ac:dyDescent="0.2">
      <c r="J141" s="23" t="s">
        <v>754</v>
      </c>
      <c r="K141" s="23" t="s">
        <v>755</v>
      </c>
      <c r="L141" s="23" t="s">
        <v>697</v>
      </c>
      <c r="M141" s="23" t="s">
        <v>556</v>
      </c>
    </row>
    <row r="142" spans="10:13" x14ac:dyDescent="0.2">
      <c r="J142" s="23" t="s">
        <v>756</v>
      </c>
      <c r="K142" s="23" t="s">
        <v>757</v>
      </c>
      <c r="L142" s="23" t="s">
        <v>697</v>
      </c>
      <c r="M142" s="23" t="s">
        <v>556</v>
      </c>
    </row>
    <row r="143" spans="10:13" x14ac:dyDescent="0.2">
      <c r="J143" s="23" t="s">
        <v>758</v>
      </c>
      <c r="K143" s="23" t="s">
        <v>759</v>
      </c>
      <c r="L143" s="23" t="s">
        <v>697</v>
      </c>
      <c r="M143" s="23" t="s">
        <v>556</v>
      </c>
    </row>
    <row r="144" spans="10:13" x14ac:dyDescent="0.2">
      <c r="J144" s="23" t="s">
        <v>760</v>
      </c>
      <c r="K144" s="23" t="s">
        <v>761</v>
      </c>
      <c r="L144" s="23" t="s">
        <v>697</v>
      </c>
      <c r="M144" s="23" t="s">
        <v>556</v>
      </c>
    </row>
    <row r="145" spans="10:13" x14ac:dyDescent="0.2">
      <c r="J145" s="23" t="s">
        <v>762</v>
      </c>
      <c r="K145" s="23" t="s">
        <v>763</v>
      </c>
      <c r="L145" s="23" t="s">
        <v>697</v>
      </c>
      <c r="M145" s="23" t="s">
        <v>556</v>
      </c>
    </row>
    <row r="146" spans="10:13" x14ac:dyDescent="0.2">
      <c r="J146" s="23" t="s">
        <v>764</v>
      </c>
      <c r="K146" s="23" t="s">
        <v>765</v>
      </c>
      <c r="L146" s="23" t="s">
        <v>697</v>
      </c>
      <c r="M146" s="23" t="s">
        <v>556</v>
      </c>
    </row>
    <row r="147" spans="10:13" x14ac:dyDescent="0.2">
      <c r="J147" s="23" t="s">
        <v>766</v>
      </c>
      <c r="K147" s="23" t="s">
        <v>767</v>
      </c>
      <c r="L147" s="23" t="s">
        <v>697</v>
      </c>
      <c r="M147" s="23" t="s">
        <v>556</v>
      </c>
    </row>
    <row r="148" spans="10:13" x14ac:dyDescent="0.2">
      <c r="J148" s="23" t="s">
        <v>768</v>
      </c>
      <c r="K148" s="23" t="s">
        <v>769</v>
      </c>
      <c r="L148" s="23" t="s">
        <v>697</v>
      </c>
      <c r="M148" s="23" t="s">
        <v>556</v>
      </c>
    </row>
    <row r="149" spans="10:13" x14ac:dyDescent="0.2">
      <c r="J149" s="23" t="s">
        <v>770</v>
      </c>
      <c r="K149" s="23" t="s">
        <v>771</v>
      </c>
      <c r="L149" s="23" t="s">
        <v>697</v>
      </c>
      <c r="M149" s="23" t="s">
        <v>556</v>
      </c>
    </row>
    <row r="150" spans="10:13" x14ac:dyDescent="0.2">
      <c r="J150" s="23" t="s">
        <v>772</v>
      </c>
      <c r="K150" s="23" t="s">
        <v>773</v>
      </c>
      <c r="L150" s="23" t="s">
        <v>697</v>
      </c>
      <c r="M150" s="23" t="s">
        <v>556</v>
      </c>
    </row>
    <row r="151" spans="10:13" x14ac:dyDescent="0.2">
      <c r="J151" s="23" t="s">
        <v>774</v>
      </c>
      <c r="K151" s="23" t="s">
        <v>775</v>
      </c>
      <c r="L151" s="23" t="s">
        <v>697</v>
      </c>
      <c r="M151" s="23" t="s">
        <v>556</v>
      </c>
    </row>
    <row r="152" spans="10:13" x14ac:dyDescent="0.2">
      <c r="J152" s="23" t="s">
        <v>776</v>
      </c>
      <c r="K152" s="23" t="s">
        <v>777</v>
      </c>
      <c r="L152" s="23" t="s">
        <v>697</v>
      </c>
      <c r="M152" s="23" t="s">
        <v>556</v>
      </c>
    </row>
    <row r="153" spans="10:13" x14ac:dyDescent="0.2">
      <c r="J153" s="23" t="s">
        <v>778</v>
      </c>
      <c r="K153" s="23" t="s">
        <v>779</v>
      </c>
      <c r="L153" s="23" t="s">
        <v>697</v>
      </c>
      <c r="M153" s="23" t="s">
        <v>556</v>
      </c>
    </row>
    <row r="154" spans="10:13" x14ac:dyDescent="0.2">
      <c r="J154" s="23" t="s">
        <v>780</v>
      </c>
      <c r="K154" s="23" t="s">
        <v>781</v>
      </c>
      <c r="L154" s="23" t="s">
        <v>697</v>
      </c>
      <c r="M154" s="23" t="s">
        <v>556</v>
      </c>
    </row>
    <row r="155" spans="10:13" x14ac:dyDescent="0.2">
      <c r="J155" s="23" t="s">
        <v>782</v>
      </c>
      <c r="K155" s="23" t="s">
        <v>775</v>
      </c>
      <c r="L155" s="23" t="s">
        <v>697</v>
      </c>
      <c r="M155" s="23" t="s">
        <v>556</v>
      </c>
    </row>
    <row r="156" spans="10:13" x14ac:dyDescent="0.2">
      <c r="J156" s="23" t="s">
        <v>783</v>
      </c>
      <c r="K156" s="23" t="s">
        <v>773</v>
      </c>
      <c r="L156" s="23" t="s">
        <v>697</v>
      </c>
      <c r="M156" s="23" t="s">
        <v>556</v>
      </c>
    </row>
    <row r="157" spans="10:13" x14ac:dyDescent="0.2">
      <c r="J157" s="23" t="s">
        <v>784</v>
      </c>
      <c r="K157" s="23" t="s">
        <v>785</v>
      </c>
      <c r="L157" s="23" t="s">
        <v>697</v>
      </c>
      <c r="M157" s="23" t="s">
        <v>556</v>
      </c>
    </row>
    <row r="158" spans="10:13" x14ac:dyDescent="0.2">
      <c r="J158" s="23" t="s">
        <v>786</v>
      </c>
      <c r="K158" s="23" t="s">
        <v>787</v>
      </c>
      <c r="L158" s="23" t="s">
        <v>697</v>
      </c>
      <c r="M158" s="23" t="s">
        <v>556</v>
      </c>
    </row>
    <row r="159" spans="10:13" x14ac:dyDescent="0.2">
      <c r="J159" s="23" t="s">
        <v>788</v>
      </c>
      <c r="K159" s="23" t="s">
        <v>785</v>
      </c>
      <c r="L159" s="23" t="s">
        <v>697</v>
      </c>
      <c r="M159" s="23" t="s">
        <v>556</v>
      </c>
    </row>
    <row r="160" spans="10:13" x14ac:dyDescent="0.2">
      <c r="J160" s="23" t="s">
        <v>789</v>
      </c>
      <c r="K160" s="23" t="s">
        <v>785</v>
      </c>
      <c r="L160" s="23" t="s">
        <v>697</v>
      </c>
      <c r="M160" s="23" t="s">
        <v>556</v>
      </c>
    </row>
    <row r="161" spans="10:13" x14ac:dyDescent="0.2">
      <c r="J161" s="23" t="s">
        <v>790</v>
      </c>
      <c r="K161" s="23" t="s">
        <v>791</v>
      </c>
      <c r="L161" s="23" t="s">
        <v>697</v>
      </c>
      <c r="M161" s="23" t="s">
        <v>556</v>
      </c>
    </row>
    <row r="162" spans="10:13" x14ac:dyDescent="0.2">
      <c r="J162" s="23" t="s">
        <v>792</v>
      </c>
      <c r="K162" s="23" t="s">
        <v>793</v>
      </c>
      <c r="L162" s="23" t="s">
        <v>697</v>
      </c>
      <c r="M162" s="23" t="s">
        <v>556</v>
      </c>
    </row>
    <row r="163" spans="10:13" x14ac:dyDescent="0.2">
      <c r="J163" s="23" t="s">
        <v>794</v>
      </c>
      <c r="K163" s="23" t="s">
        <v>795</v>
      </c>
      <c r="L163" s="23" t="s">
        <v>697</v>
      </c>
      <c r="M163" s="23" t="s">
        <v>556</v>
      </c>
    </row>
    <row r="164" spans="10:13" x14ac:dyDescent="0.2">
      <c r="J164" s="23" t="s">
        <v>796</v>
      </c>
      <c r="K164" s="23" t="s">
        <v>797</v>
      </c>
      <c r="L164" s="23" t="s">
        <v>697</v>
      </c>
      <c r="M164" s="23" t="s">
        <v>556</v>
      </c>
    </row>
    <row r="165" spans="10:13" x14ac:dyDescent="0.2">
      <c r="J165" s="23" t="s">
        <v>798</v>
      </c>
      <c r="K165" s="23" t="s">
        <v>799</v>
      </c>
      <c r="L165" s="23" t="s">
        <v>697</v>
      </c>
      <c r="M165" s="23" t="s">
        <v>556</v>
      </c>
    </row>
    <row r="166" spans="10:13" x14ac:dyDescent="0.2">
      <c r="J166" s="23" t="s">
        <v>800</v>
      </c>
      <c r="K166" s="23" t="s">
        <v>801</v>
      </c>
      <c r="L166" s="23" t="s">
        <v>697</v>
      </c>
      <c r="M166" s="23" t="s">
        <v>556</v>
      </c>
    </row>
    <row r="167" spans="10:13" x14ac:dyDescent="0.2">
      <c r="J167" s="23" t="s">
        <v>802</v>
      </c>
      <c r="K167" s="23" t="s">
        <v>803</v>
      </c>
      <c r="L167" s="23" t="s">
        <v>697</v>
      </c>
      <c r="M167" s="23" t="s">
        <v>556</v>
      </c>
    </row>
    <row r="168" spans="10:13" x14ac:dyDescent="0.2">
      <c r="J168" s="23" t="s">
        <v>804</v>
      </c>
      <c r="K168" s="23" t="s">
        <v>805</v>
      </c>
      <c r="L168" s="23" t="s">
        <v>697</v>
      </c>
      <c r="M168" s="23" t="s">
        <v>556</v>
      </c>
    </row>
    <row r="169" spans="10:13" x14ac:dyDescent="0.2">
      <c r="J169" s="23" t="s">
        <v>806</v>
      </c>
      <c r="K169" s="23" t="s">
        <v>807</v>
      </c>
      <c r="L169" s="23" t="s">
        <v>697</v>
      </c>
      <c r="M169" s="23" t="s">
        <v>556</v>
      </c>
    </row>
    <row r="170" spans="10:13" x14ac:dyDescent="0.2">
      <c r="J170" s="23" t="s">
        <v>808</v>
      </c>
      <c r="K170" s="23" t="s">
        <v>809</v>
      </c>
      <c r="L170" s="23" t="s">
        <v>697</v>
      </c>
      <c r="M170" s="23" t="s">
        <v>556</v>
      </c>
    </row>
    <row r="171" spans="10:13" x14ac:dyDescent="0.2">
      <c r="J171" s="23" t="s">
        <v>810</v>
      </c>
      <c r="K171" s="23" t="s">
        <v>811</v>
      </c>
      <c r="L171" s="23" t="s">
        <v>697</v>
      </c>
      <c r="M171" s="23" t="s">
        <v>556</v>
      </c>
    </row>
    <row r="172" spans="10:13" x14ac:dyDescent="0.2">
      <c r="J172" s="23" t="s">
        <v>812</v>
      </c>
      <c r="K172" s="23" t="s">
        <v>813</v>
      </c>
      <c r="L172" s="23" t="s">
        <v>697</v>
      </c>
      <c r="M172" s="23" t="s">
        <v>556</v>
      </c>
    </row>
    <row r="173" spans="10:13" x14ac:dyDescent="0.2">
      <c r="J173" s="23" t="s">
        <v>814</v>
      </c>
      <c r="K173" s="23" t="s">
        <v>815</v>
      </c>
      <c r="L173" s="23" t="s">
        <v>697</v>
      </c>
      <c r="M173" s="23" t="s">
        <v>556</v>
      </c>
    </row>
    <row r="174" spans="10:13" x14ac:dyDescent="0.2">
      <c r="J174" s="23" t="s">
        <v>816</v>
      </c>
      <c r="K174" s="23" t="s">
        <v>817</v>
      </c>
      <c r="L174" s="23" t="s">
        <v>697</v>
      </c>
      <c r="M174" s="23" t="s">
        <v>556</v>
      </c>
    </row>
    <row r="175" spans="10:13" x14ac:dyDescent="0.2">
      <c r="J175" s="23" t="s">
        <v>818</v>
      </c>
      <c r="K175" s="23" t="s">
        <v>819</v>
      </c>
      <c r="L175" s="23" t="s">
        <v>697</v>
      </c>
      <c r="M175" s="23" t="s">
        <v>556</v>
      </c>
    </row>
    <row r="176" spans="10:13" x14ac:dyDescent="0.2">
      <c r="J176" s="23" t="s">
        <v>820</v>
      </c>
      <c r="K176" s="23" t="s">
        <v>791</v>
      </c>
      <c r="L176" s="23" t="s">
        <v>697</v>
      </c>
      <c r="M176" s="23" t="s">
        <v>556</v>
      </c>
    </row>
    <row r="177" spans="10:13" x14ac:dyDescent="0.2">
      <c r="J177" s="23" t="s">
        <v>821</v>
      </c>
      <c r="K177" s="23" t="s">
        <v>787</v>
      </c>
      <c r="L177" s="23" t="s">
        <v>697</v>
      </c>
      <c r="M177" s="23" t="s">
        <v>556</v>
      </c>
    </row>
    <row r="178" spans="10:13" x14ac:dyDescent="0.2">
      <c r="J178" s="23" t="s">
        <v>822</v>
      </c>
      <c r="K178" s="23" t="s">
        <v>720</v>
      </c>
      <c r="L178" s="23" t="s">
        <v>697</v>
      </c>
      <c r="M178" s="23" t="s">
        <v>556</v>
      </c>
    </row>
    <row r="179" spans="10:13" x14ac:dyDescent="0.2">
      <c r="J179" s="23" t="s">
        <v>823</v>
      </c>
      <c r="K179" s="23" t="s">
        <v>824</v>
      </c>
      <c r="L179" s="23" t="s">
        <v>697</v>
      </c>
      <c r="M179" s="23" t="s">
        <v>556</v>
      </c>
    </row>
    <row r="180" spans="10:13" x14ac:dyDescent="0.2">
      <c r="J180" s="23" t="s">
        <v>825</v>
      </c>
      <c r="K180" s="23" t="s">
        <v>826</v>
      </c>
      <c r="L180" s="23" t="s">
        <v>697</v>
      </c>
      <c r="M180" s="23" t="s">
        <v>556</v>
      </c>
    </row>
    <row r="181" spans="10:13" x14ac:dyDescent="0.2">
      <c r="J181" s="23" t="s">
        <v>827</v>
      </c>
      <c r="K181" s="23" t="s">
        <v>828</v>
      </c>
      <c r="L181" s="23" t="s">
        <v>697</v>
      </c>
      <c r="M181" s="23" t="s">
        <v>556</v>
      </c>
    </row>
    <row r="182" spans="10:13" x14ac:dyDescent="0.2">
      <c r="J182" s="23" t="s">
        <v>829</v>
      </c>
      <c r="K182" s="23" t="s">
        <v>830</v>
      </c>
      <c r="L182" s="23" t="s">
        <v>697</v>
      </c>
      <c r="M182" s="23" t="s">
        <v>556</v>
      </c>
    </row>
    <row r="183" spans="10:13" x14ac:dyDescent="0.2">
      <c r="J183" s="23" t="s">
        <v>831</v>
      </c>
      <c r="K183" s="23" t="s">
        <v>832</v>
      </c>
      <c r="L183" s="23" t="s">
        <v>697</v>
      </c>
      <c r="M183" s="23" t="s">
        <v>556</v>
      </c>
    </row>
    <row r="184" spans="10:13" x14ac:dyDescent="0.2">
      <c r="J184" s="23" t="s">
        <v>833</v>
      </c>
      <c r="K184" s="23" t="s">
        <v>834</v>
      </c>
      <c r="L184" s="23" t="s">
        <v>835</v>
      </c>
      <c r="M184" s="23" t="s">
        <v>556</v>
      </c>
    </row>
    <row r="185" spans="10:13" x14ac:dyDescent="0.2">
      <c r="J185" s="23" t="s">
        <v>836</v>
      </c>
      <c r="K185" s="23" t="s">
        <v>837</v>
      </c>
      <c r="L185" s="23" t="s">
        <v>697</v>
      </c>
      <c r="M185" s="23" t="s">
        <v>556</v>
      </c>
    </row>
    <row r="186" spans="10:13" x14ac:dyDescent="0.2">
      <c r="J186" s="23" t="s">
        <v>838</v>
      </c>
      <c r="K186" s="23" t="s">
        <v>839</v>
      </c>
      <c r="L186" s="23" t="s">
        <v>697</v>
      </c>
      <c r="M186" s="23" t="s">
        <v>556</v>
      </c>
    </row>
    <row r="187" spans="10:13" x14ac:dyDescent="0.2">
      <c r="J187" s="23" t="s">
        <v>840</v>
      </c>
      <c r="K187" s="23" t="s">
        <v>841</v>
      </c>
      <c r="L187" s="23" t="s">
        <v>697</v>
      </c>
      <c r="M187" s="23" t="s">
        <v>556</v>
      </c>
    </row>
    <row r="188" spans="10:13" x14ac:dyDescent="0.2">
      <c r="J188" s="23" t="s">
        <v>842</v>
      </c>
      <c r="K188" s="23" t="s">
        <v>843</v>
      </c>
      <c r="L188" s="23" t="s">
        <v>844</v>
      </c>
      <c r="M188" s="23" t="s">
        <v>556</v>
      </c>
    </row>
    <row r="189" spans="10:13" x14ac:dyDescent="0.2">
      <c r="J189" s="23" t="s">
        <v>845</v>
      </c>
      <c r="K189" s="23" t="s">
        <v>846</v>
      </c>
      <c r="L189" s="23" t="s">
        <v>844</v>
      </c>
      <c r="M189" s="23" t="s">
        <v>556</v>
      </c>
    </row>
    <row r="190" spans="10:13" x14ac:dyDescent="0.2">
      <c r="J190" s="23" t="s">
        <v>488</v>
      </c>
      <c r="K190" s="23" t="s">
        <v>847</v>
      </c>
      <c r="L190" s="23" t="s">
        <v>844</v>
      </c>
      <c r="M190" s="23" t="s">
        <v>556</v>
      </c>
    </row>
    <row r="191" spans="10:13" x14ac:dyDescent="0.2">
      <c r="J191" s="23" t="s">
        <v>848</v>
      </c>
      <c r="K191" s="23" t="s">
        <v>849</v>
      </c>
      <c r="L191" s="23" t="s">
        <v>844</v>
      </c>
      <c r="M191" s="23" t="s">
        <v>850</v>
      </c>
    </row>
    <row r="192" spans="10:13" x14ac:dyDescent="0.2">
      <c r="J192" s="23" t="s">
        <v>851</v>
      </c>
      <c r="K192" s="23" t="s">
        <v>852</v>
      </c>
      <c r="L192" s="23" t="s">
        <v>844</v>
      </c>
      <c r="M192" s="23" t="s">
        <v>556</v>
      </c>
    </row>
    <row r="193" spans="10:13" x14ac:dyDescent="0.2">
      <c r="J193" s="23" t="s">
        <v>853</v>
      </c>
      <c r="K193" s="23" t="s">
        <v>854</v>
      </c>
      <c r="L193" s="23" t="s">
        <v>844</v>
      </c>
      <c r="M193" s="23" t="s">
        <v>556</v>
      </c>
    </row>
    <row r="194" spans="10:13" x14ac:dyDescent="0.2">
      <c r="J194" s="23" t="s">
        <v>855</v>
      </c>
      <c r="K194" s="23" t="s">
        <v>856</v>
      </c>
      <c r="L194" s="23" t="s">
        <v>844</v>
      </c>
      <c r="M194" s="23" t="s">
        <v>556</v>
      </c>
    </row>
    <row r="195" spans="10:13" x14ac:dyDescent="0.2">
      <c r="J195" s="23" t="s">
        <v>857</v>
      </c>
      <c r="K195" s="23" t="s">
        <v>858</v>
      </c>
      <c r="L195" s="23" t="s">
        <v>844</v>
      </c>
      <c r="M195" s="23" t="s">
        <v>850</v>
      </c>
    </row>
    <row r="196" spans="10:13" x14ac:dyDescent="0.2">
      <c r="J196" s="23" t="s">
        <v>859</v>
      </c>
      <c r="K196" s="23" t="s">
        <v>860</v>
      </c>
      <c r="L196" s="23" t="s">
        <v>844</v>
      </c>
      <c r="M196" s="23" t="s">
        <v>556</v>
      </c>
    </row>
    <row r="197" spans="10:13" x14ac:dyDescent="0.2">
      <c r="J197" s="23" t="s">
        <v>861</v>
      </c>
      <c r="K197" s="23" t="s">
        <v>860</v>
      </c>
      <c r="L197" s="23" t="s">
        <v>844</v>
      </c>
      <c r="M197" s="23" t="s">
        <v>556</v>
      </c>
    </row>
    <row r="198" spans="10:13" x14ac:dyDescent="0.2">
      <c r="J198" s="23" t="s">
        <v>862</v>
      </c>
      <c r="K198" s="23" t="s">
        <v>860</v>
      </c>
      <c r="L198" s="23" t="s">
        <v>844</v>
      </c>
      <c r="M198" s="23" t="s">
        <v>556</v>
      </c>
    </row>
    <row r="199" spans="10:13" x14ac:dyDescent="0.2">
      <c r="J199" s="23" t="s">
        <v>863</v>
      </c>
      <c r="K199" s="23" t="s">
        <v>860</v>
      </c>
      <c r="L199" s="23" t="s">
        <v>844</v>
      </c>
      <c r="M199" s="23" t="s">
        <v>556</v>
      </c>
    </row>
    <row r="200" spans="10:13" x14ac:dyDescent="0.2">
      <c r="J200" s="23" t="s">
        <v>864</v>
      </c>
      <c r="K200" s="23" t="s">
        <v>865</v>
      </c>
      <c r="L200" s="23" t="s">
        <v>844</v>
      </c>
      <c r="M200" s="23" t="s">
        <v>556</v>
      </c>
    </row>
    <row r="201" spans="10:13" x14ac:dyDescent="0.2">
      <c r="J201" s="23" t="s">
        <v>866</v>
      </c>
      <c r="K201" s="23" t="s">
        <v>867</v>
      </c>
      <c r="L201" s="23" t="s">
        <v>844</v>
      </c>
      <c r="M201" s="23" t="s">
        <v>556</v>
      </c>
    </row>
    <row r="202" spans="10:13" x14ac:dyDescent="0.2">
      <c r="J202" s="23" t="s">
        <v>868</v>
      </c>
      <c r="K202" s="23" t="s">
        <v>869</v>
      </c>
      <c r="L202" s="23" t="s">
        <v>844</v>
      </c>
      <c r="M202" s="23" t="s">
        <v>556</v>
      </c>
    </row>
    <row r="203" spans="10:13" x14ac:dyDescent="0.2">
      <c r="J203" s="23" t="s">
        <v>489</v>
      </c>
      <c r="K203" s="23" t="s">
        <v>870</v>
      </c>
      <c r="L203" s="23" t="s">
        <v>844</v>
      </c>
      <c r="M203" s="23" t="s">
        <v>556</v>
      </c>
    </row>
    <row r="204" spans="10:13" x14ac:dyDescent="0.2">
      <c r="J204" s="23" t="s">
        <v>871</v>
      </c>
      <c r="K204" s="23" t="s">
        <v>872</v>
      </c>
      <c r="L204" s="23" t="s">
        <v>844</v>
      </c>
      <c r="M204" s="23" t="s">
        <v>556</v>
      </c>
    </row>
    <row r="205" spans="10:13" x14ac:dyDescent="0.2">
      <c r="J205" s="23" t="s">
        <v>873</v>
      </c>
      <c r="K205" s="23" t="s">
        <v>874</v>
      </c>
      <c r="L205" s="23" t="s">
        <v>844</v>
      </c>
      <c r="M205" s="23" t="s">
        <v>556</v>
      </c>
    </row>
    <row r="206" spans="10:13" x14ac:dyDescent="0.2">
      <c r="J206" s="23" t="s">
        <v>875</v>
      </c>
      <c r="K206" s="23" t="s">
        <v>874</v>
      </c>
      <c r="L206" s="23" t="s">
        <v>844</v>
      </c>
      <c r="M206" s="23" t="s">
        <v>556</v>
      </c>
    </row>
    <row r="207" spans="10:13" x14ac:dyDescent="0.2">
      <c r="J207" s="23" t="s">
        <v>876</v>
      </c>
      <c r="K207" s="23" t="s">
        <v>874</v>
      </c>
      <c r="L207" s="23" t="s">
        <v>844</v>
      </c>
      <c r="M207" s="23" t="s">
        <v>556</v>
      </c>
    </row>
    <row r="208" spans="10:13" x14ac:dyDescent="0.2">
      <c r="J208" s="23" t="s">
        <v>877</v>
      </c>
      <c r="K208" s="23" t="s">
        <v>874</v>
      </c>
      <c r="L208" s="23" t="s">
        <v>844</v>
      </c>
      <c r="M208" s="23" t="s">
        <v>556</v>
      </c>
    </row>
    <row r="209" spans="10:13" x14ac:dyDescent="0.2">
      <c r="J209" s="23" t="s">
        <v>878</v>
      </c>
      <c r="K209" s="23" t="s">
        <v>879</v>
      </c>
      <c r="L209" s="23" t="s">
        <v>844</v>
      </c>
      <c r="M209" s="23" t="s">
        <v>556</v>
      </c>
    </row>
    <row r="210" spans="10:13" x14ac:dyDescent="0.2">
      <c r="J210" s="23" t="s">
        <v>880</v>
      </c>
      <c r="K210" s="23" t="s">
        <v>879</v>
      </c>
      <c r="L210" s="23" t="s">
        <v>844</v>
      </c>
      <c r="M210" s="23" t="s">
        <v>556</v>
      </c>
    </row>
    <row r="211" spans="10:13" x14ac:dyDescent="0.2">
      <c r="J211" s="23" t="s">
        <v>881</v>
      </c>
      <c r="K211" s="23" t="s">
        <v>879</v>
      </c>
      <c r="L211" s="23" t="s">
        <v>844</v>
      </c>
      <c r="M211" s="23" t="s">
        <v>556</v>
      </c>
    </row>
    <row r="212" spans="10:13" x14ac:dyDescent="0.2">
      <c r="J212" s="23" t="s">
        <v>882</v>
      </c>
      <c r="K212" s="23" t="s">
        <v>879</v>
      </c>
      <c r="L212" s="23" t="s">
        <v>844</v>
      </c>
      <c r="M212" s="23" t="s">
        <v>556</v>
      </c>
    </row>
    <row r="213" spans="10:13" x14ac:dyDescent="0.2">
      <c r="J213" s="23" t="s">
        <v>883</v>
      </c>
      <c r="K213" s="23" t="s">
        <v>884</v>
      </c>
      <c r="L213" s="23" t="s">
        <v>844</v>
      </c>
      <c r="M213" s="23" t="s">
        <v>556</v>
      </c>
    </row>
    <row r="214" spans="10:13" x14ac:dyDescent="0.2">
      <c r="J214" s="23" t="s">
        <v>490</v>
      </c>
      <c r="K214" s="23" t="s">
        <v>885</v>
      </c>
      <c r="L214" s="23" t="s">
        <v>844</v>
      </c>
      <c r="M214" s="23" t="s">
        <v>556</v>
      </c>
    </row>
    <row r="215" spans="10:13" x14ac:dyDescent="0.2">
      <c r="J215" s="23" t="s">
        <v>491</v>
      </c>
      <c r="K215" s="23" t="s">
        <v>886</v>
      </c>
      <c r="L215" s="23" t="s">
        <v>844</v>
      </c>
      <c r="M215" s="23" t="s">
        <v>556</v>
      </c>
    </row>
    <row r="216" spans="10:13" x14ac:dyDescent="0.2">
      <c r="J216" s="23" t="s">
        <v>887</v>
      </c>
      <c r="K216" s="23" t="s">
        <v>888</v>
      </c>
      <c r="L216" s="23" t="s">
        <v>844</v>
      </c>
      <c r="M216" s="23" t="s">
        <v>556</v>
      </c>
    </row>
    <row r="217" spans="10:13" x14ac:dyDescent="0.2">
      <c r="J217" s="23" t="s">
        <v>889</v>
      </c>
      <c r="K217" s="23" t="s">
        <v>888</v>
      </c>
      <c r="L217" s="23" t="s">
        <v>844</v>
      </c>
      <c r="M217" s="23" t="s">
        <v>556</v>
      </c>
    </row>
    <row r="218" spans="10:13" x14ac:dyDescent="0.2">
      <c r="J218" s="23" t="s">
        <v>890</v>
      </c>
      <c r="K218" s="23" t="s">
        <v>888</v>
      </c>
      <c r="L218" s="23" t="s">
        <v>844</v>
      </c>
      <c r="M218" s="23" t="s">
        <v>556</v>
      </c>
    </row>
    <row r="219" spans="10:13" x14ac:dyDescent="0.2">
      <c r="J219" s="23" t="s">
        <v>891</v>
      </c>
      <c r="K219" s="23" t="s">
        <v>888</v>
      </c>
      <c r="L219" s="23" t="s">
        <v>844</v>
      </c>
      <c r="M219" s="23" t="s">
        <v>556</v>
      </c>
    </row>
    <row r="220" spans="10:13" x14ac:dyDescent="0.2">
      <c r="J220" s="23" t="s">
        <v>892</v>
      </c>
      <c r="K220" s="23" t="s">
        <v>893</v>
      </c>
      <c r="L220" s="23" t="s">
        <v>844</v>
      </c>
      <c r="M220" s="23" t="s">
        <v>556</v>
      </c>
    </row>
    <row r="221" spans="10:13" x14ac:dyDescent="0.2">
      <c r="J221" s="23" t="s">
        <v>492</v>
      </c>
      <c r="K221" s="23" t="s">
        <v>894</v>
      </c>
      <c r="L221" s="23" t="s">
        <v>844</v>
      </c>
      <c r="M221" s="23" t="s">
        <v>556</v>
      </c>
    </row>
    <row r="222" spans="10:13" x14ac:dyDescent="0.2">
      <c r="J222" s="23" t="s">
        <v>895</v>
      </c>
      <c r="K222" s="23" t="s">
        <v>896</v>
      </c>
      <c r="L222" s="23" t="s">
        <v>844</v>
      </c>
      <c r="M222" s="23" t="s">
        <v>556</v>
      </c>
    </row>
    <row r="223" spans="10:13" x14ac:dyDescent="0.2">
      <c r="J223" s="23" t="s">
        <v>897</v>
      </c>
      <c r="K223" s="23" t="s">
        <v>898</v>
      </c>
      <c r="L223" s="23" t="s">
        <v>844</v>
      </c>
      <c r="M223" s="23" t="s">
        <v>556</v>
      </c>
    </row>
    <row r="224" spans="10:13" x14ac:dyDescent="0.2">
      <c r="J224" s="23" t="s">
        <v>493</v>
      </c>
      <c r="K224" s="23" t="s">
        <v>899</v>
      </c>
      <c r="L224" s="23" t="s">
        <v>844</v>
      </c>
      <c r="M224" s="23" t="s">
        <v>556</v>
      </c>
    </row>
    <row r="225" spans="10:19" x14ac:dyDescent="0.2">
      <c r="J225" s="23" t="s">
        <v>900</v>
      </c>
      <c r="K225" s="23" t="s">
        <v>901</v>
      </c>
      <c r="L225" s="23" t="s">
        <v>844</v>
      </c>
      <c r="M225" s="23" t="s">
        <v>556</v>
      </c>
    </row>
    <row r="226" spans="10:19" x14ac:dyDescent="0.2">
      <c r="J226" s="23" t="s">
        <v>902</v>
      </c>
      <c r="K226" s="23" t="s">
        <v>901</v>
      </c>
      <c r="L226" s="23" t="s">
        <v>844</v>
      </c>
      <c r="M226" s="23" t="s">
        <v>556</v>
      </c>
    </row>
    <row r="227" spans="10:19" x14ac:dyDescent="0.2">
      <c r="J227" s="23" t="s">
        <v>903</v>
      </c>
      <c r="K227" s="23" t="s">
        <v>901</v>
      </c>
      <c r="L227" s="23" t="s">
        <v>844</v>
      </c>
      <c r="M227" s="23" t="s">
        <v>556</v>
      </c>
    </row>
    <row r="228" spans="10:19" x14ac:dyDescent="0.2">
      <c r="J228" s="23" t="s">
        <v>904</v>
      </c>
      <c r="K228" s="23" t="s">
        <v>901</v>
      </c>
      <c r="L228" s="23" t="s">
        <v>844</v>
      </c>
      <c r="M228" s="23" t="s">
        <v>556</v>
      </c>
    </row>
    <row r="229" spans="10:19" x14ac:dyDescent="0.2">
      <c r="J229" s="23" t="s">
        <v>905</v>
      </c>
      <c r="K229" s="23" t="s">
        <v>906</v>
      </c>
      <c r="L229" s="23" t="s">
        <v>844</v>
      </c>
      <c r="M229" s="23" t="s">
        <v>556</v>
      </c>
    </row>
    <row r="230" spans="10:19" x14ac:dyDescent="0.2">
      <c r="J230" s="23" t="s">
        <v>907</v>
      </c>
      <c r="K230" s="23" t="s">
        <v>906</v>
      </c>
      <c r="L230" s="23" t="s">
        <v>844</v>
      </c>
      <c r="M230" s="23" t="s">
        <v>556</v>
      </c>
    </row>
    <row r="231" spans="10:19" x14ac:dyDescent="0.2">
      <c r="J231" s="23" t="s">
        <v>908</v>
      </c>
      <c r="K231" s="23" t="s">
        <v>906</v>
      </c>
      <c r="L231" s="23" t="s">
        <v>844</v>
      </c>
      <c r="M231" s="23" t="s">
        <v>556</v>
      </c>
    </row>
    <row r="232" spans="10:19" ht="14.25" x14ac:dyDescent="0.15">
      <c r="J232" s="23" t="s">
        <v>909</v>
      </c>
      <c r="K232" s="23" t="s">
        <v>906</v>
      </c>
      <c r="L232" s="23" t="s">
        <v>844</v>
      </c>
      <c r="M232" s="23" t="s">
        <v>556</v>
      </c>
      <c r="S232" s="24" t="s">
        <v>1198</v>
      </c>
    </row>
    <row r="233" spans="10:19" x14ac:dyDescent="0.2">
      <c r="J233" s="23" t="s">
        <v>910</v>
      </c>
      <c r="K233" s="23" t="s">
        <v>911</v>
      </c>
      <c r="L233" s="23" t="s">
        <v>844</v>
      </c>
      <c r="M233" s="23" t="s">
        <v>556</v>
      </c>
    </row>
    <row r="234" spans="10:19" x14ac:dyDescent="0.2">
      <c r="J234" s="23" t="s">
        <v>912</v>
      </c>
      <c r="K234" s="23" t="s">
        <v>911</v>
      </c>
      <c r="L234" s="23" t="s">
        <v>844</v>
      </c>
      <c r="M234" s="23" t="s">
        <v>556</v>
      </c>
    </row>
    <row r="235" spans="10:19" x14ac:dyDescent="0.2">
      <c r="J235" s="23" t="s">
        <v>913</v>
      </c>
      <c r="K235" s="23" t="s">
        <v>911</v>
      </c>
      <c r="L235" s="23" t="s">
        <v>844</v>
      </c>
      <c r="M235" s="23" t="s">
        <v>556</v>
      </c>
    </row>
    <row r="236" spans="10:19" x14ac:dyDescent="0.2">
      <c r="J236" s="23" t="s">
        <v>914</v>
      </c>
      <c r="K236" s="23" t="s">
        <v>915</v>
      </c>
      <c r="L236" s="23" t="s">
        <v>844</v>
      </c>
      <c r="M236" s="23" t="s">
        <v>556</v>
      </c>
    </row>
    <row r="237" spans="10:19" x14ac:dyDescent="0.2">
      <c r="J237" s="23" t="s">
        <v>916</v>
      </c>
      <c r="K237" s="23" t="s">
        <v>915</v>
      </c>
      <c r="L237" s="23" t="s">
        <v>844</v>
      </c>
      <c r="M237" s="23" t="s">
        <v>556</v>
      </c>
    </row>
    <row r="238" spans="10:19" x14ac:dyDescent="0.2">
      <c r="J238" s="23" t="s">
        <v>917</v>
      </c>
      <c r="K238" s="23" t="s">
        <v>915</v>
      </c>
      <c r="L238" s="23" t="s">
        <v>844</v>
      </c>
      <c r="M238" s="23" t="s">
        <v>556</v>
      </c>
    </row>
    <row r="239" spans="10:19" x14ac:dyDescent="0.2">
      <c r="J239" s="23" t="s">
        <v>918</v>
      </c>
      <c r="K239" s="23" t="s">
        <v>919</v>
      </c>
      <c r="L239" s="23" t="s">
        <v>844</v>
      </c>
      <c r="M239" s="23" t="s">
        <v>556</v>
      </c>
    </row>
    <row r="240" spans="10:19" x14ac:dyDescent="0.2">
      <c r="J240" s="23" t="s">
        <v>920</v>
      </c>
      <c r="K240" s="23" t="s">
        <v>919</v>
      </c>
      <c r="L240" s="23" t="s">
        <v>844</v>
      </c>
      <c r="M240" s="23" t="s">
        <v>556</v>
      </c>
    </row>
    <row r="241" spans="10:13" x14ac:dyDescent="0.2">
      <c r="J241" s="23" t="s">
        <v>921</v>
      </c>
      <c r="K241" s="23" t="s">
        <v>919</v>
      </c>
      <c r="L241" s="23" t="s">
        <v>844</v>
      </c>
      <c r="M241" s="23" t="s">
        <v>556</v>
      </c>
    </row>
    <row r="242" spans="10:13" x14ac:dyDescent="0.2">
      <c r="J242" s="23" t="s">
        <v>494</v>
      </c>
      <c r="K242" s="23" t="s">
        <v>922</v>
      </c>
      <c r="L242" s="23" t="s">
        <v>844</v>
      </c>
      <c r="M242" s="23" t="s">
        <v>556</v>
      </c>
    </row>
    <row r="243" spans="10:13" x14ac:dyDescent="0.2">
      <c r="J243" s="23" t="s">
        <v>495</v>
      </c>
      <c r="K243" s="23" t="s">
        <v>923</v>
      </c>
      <c r="L243" s="23" t="s">
        <v>844</v>
      </c>
      <c r="M243" s="23" t="s">
        <v>556</v>
      </c>
    </row>
    <row r="244" spans="10:13" x14ac:dyDescent="0.2">
      <c r="J244" s="23" t="s">
        <v>496</v>
      </c>
      <c r="K244" s="23" t="s">
        <v>924</v>
      </c>
      <c r="L244" s="23" t="s">
        <v>844</v>
      </c>
      <c r="M244" s="23" t="s">
        <v>556</v>
      </c>
    </row>
    <row r="245" spans="10:13" x14ac:dyDescent="0.2">
      <c r="J245" s="23" t="s">
        <v>168</v>
      </c>
      <c r="K245" s="23" t="s">
        <v>925</v>
      </c>
      <c r="L245" s="23" t="s">
        <v>844</v>
      </c>
      <c r="M245" s="23" t="s">
        <v>556</v>
      </c>
    </row>
    <row r="246" spans="10:13" x14ac:dyDescent="0.2">
      <c r="J246" s="23" t="s">
        <v>926</v>
      </c>
      <c r="K246" s="23" t="s">
        <v>927</v>
      </c>
      <c r="L246" s="23" t="s">
        <v>844</v>
      </c>
      <c r="M246" s="23" t="s">
        <v>556</v>
      </c>
    </row>
    <row r="247" spans="10:13" x14ac:dyDescent="0.2">
      <c r="J247" s="23" t="s">
        <v>172</v>
      </c>
      <c r="K247" s="23" t="s">
        <v>928</v>
      </c>
      <c r="L247" s="23" t="s">
        <v>844</v>
      </c>
      <c r="M247" s="23" t="s">
        <v>556</v>
      </c>
    </row>
    <row r="248" spans="10:13" x14ac:dyDescent="0.2">
      <c r="J248" s="23" t="s">
        <v>166</v>
      </c>
      <c r="K248" s="23" t="s">
        <v>929</v>
      </c>
      <c r="L248" s="23" t="s">
        <v>844</v>
      </c>
      <c r="M248" s="23" t="s">
        <v>850</v>
      </c>
    </row>
    <row r="249" spans="10:13" x14ac:dyDescent="0.2">
      <c r="J249" s="23" t="s">
        <v>170</v>
      </c>
      <c r="K249" s="23" t="s">
        <v>930</v>
      </c>
      <c r="L249" s="23" t="s">
        <v>844</v>
      </c>
      <c r="M249" s="23" t="s">
        <v>850</v>
      </c>
    </row>
    <row r="250" spans="10:13" x14ac:dyDescent="0.2">
      <c r="J250" s="23" t="s">
        <v>169</v>
      </c>
      <c r="K250" s="23" t="s">
        <v>931</v>
      </c>
      <c r="L250" s="23" t="s">
        <v>844</v>
      </c>
      <c r="M250" s="23" t="s">
        <v>850</v>
      </c>
    </row>
    <row r="251" spans="10:13" x14ac:dyDescent="0.2">
      <c r="J251" s="23" t="s">
        <v>497</v>
      </c>
      <c r="K251" s="23" t="s">
        <v>932</v>
      </c>
      <c r="L251" s="23" t="s">
        <v>844</v>
      </c>
      <c r="M251" s="23" t="s">
        <v>556</v>
      </c>
    </row>
    <row r="252" spans="10:13" x14ac:dyDescent="0.2">
      <c r="J252" s="23" t="s">
        <v>498</v>
      </c>
      <c r="K252" s="23" t="s">
        <v>933</v>
      </c>
      <c r="L252" s="23" t="s">
        <v>844</v>
      </c>
      <c r="M252" s="23" t="s">
        <v>556</v>
      </c>
    </row>
    <row r="253" spans="10:13" x14ac:dyDescent="0.2">
      <c r="J253" s="23" t="s">
        <v>164</v>
      </c>
      <c r="K253" s="23" t="s">
        <v>934</v>
      </c>
      <c r="L253" s="23" t="s">
        <v>844</v>
      </c>
      <c r="M253" s="23" t="s">
        <v>556</v>
      </c>
    </row>
    <row r="254" spans="10:13" x14ac:dyDescent="0.2">
      <c r="J254" s="23" t="s">
        <v>171</v>
      </c>
      <c r="K254" s="23" t="s">
        <v>935</v>
      </c>
      <c r="L254" s="23" t="s">
        <v>844</v>
      </c>
      <c r="M254" s="23" t="s">
        <v>850</v>
      </c>
    </row>
    <row r="255" spans="10:13" x14ac:dyDescent="0.2">
      <c r="J255" s="23" t="s">
        <v>167</v>
      </c>
      <c r="K255" s="23" t="s">
        <v>936</v>
      </c>
      <c r="L255" s="23" t="s">
        <v>844</v>
      </c>
      <c r="M255" s="23" t="s">
        <v>556</v>
      </c>
    </row>
    <row r="256" spans="10:13" x14ac:dyDescent="0.2">
      <c r="J256" s="23" t="s">
        <v>937</v>
      </c>
      <c r="K256" s="23" t="s">
        <v>938</v>
      </c>
      <c r="L256" s="23" t="s">
        <v>844</v>
      </c>
      <c r="M256" s="23" t="s">
        <v>850</v>
      </c>
    </row>
    <row r="257" spans="10:13" x14ac:dyDescent="0.2">
      <c r="J257" s="23" t="s">
        <v>939</v>
      </c>
      <c r="K257" s="23" t="s">
        <v>940</v>
      </c>
      <c r="L257" s="23" t="s">
        <v>844</v>
      </c>
      <c r="M257" s="23" t="s">
        <v>556</v>
      </c>
    </row>
    <row r="258" spans="10:13" x14ac:dyDescent="0.2">
      <c r="J258" s="23" t="s">
        <v>173</v>
      </c>
      <c r="K258" s="23" t="s">
        <v>941</v>
      </c>
      <c r="L258" s="23" t="s">
        <v>844</v>
      </c>
      <c r="M258" s="23" t="s">
        <v>850</v>
      </c>
    </row>
    <row r="259" spans="10:13" x14ac:dyDescent="0.2">
      <c r="J259" s="23" t="s">
        <v>177</v>
      </c>
      <c r="K259" s="23" t="s">
        <v>942</v>
      </c>
      <c r="L259" s="23" t="s">
        <v>835</v>
      </c>
      <c r="M259" s="23" t="s">
        <v>556</v>
      </c>
    </row>
    <row r="260" spans="10:13" x14ac:dyDescent="0.2">
      <c r="J260" s="23" t="s">
        <v>176</v>
      </c>
      <c r="K260" s="23" t="s">
        <v>943</v>
      </c>
      <c r="L260" s="23" t="s">
        <v>844</v>
      </c>
      <c r="M260" s="23" t="s">
        <v>850</v>
      </c>
    </row>
    <row r="261" spans="10:13" x14ac:dyDescent="0.2">
      <c r="J261" s="23" t="s">
        <v>174</v>
      </c>
      <c r="K261" s="23" t="s">
        <v>942</v>
      </c>
      <c r="L261" s="23" t="s">
        <v>835</v>
      </c>
      <c r="M261" s="23" t="s">
        <v>556</v>
      </c>
    </row>
    <row r="262" spans="10:13" x14ac:dyDescent="0.2">
      <c r="J262" s="23" t="s">
        <v>175</v>
      </c>
      <c r="K262" s="23" t="s">
        <v>942</v>
      </c>
      <c r="L262" s="23" t="s">
        <v>835</v>
      </c>
      <c r="M262" s="23" t="s">
        <v>556</v>
      </c>
    </row>
    <row r="263" spans="10:13" x14ac:dyDescent="0.2">
      <c r="J263" s="23" t="s">
        <v>944</v>
      </c>
      <c r="K263" s="23" t="s">
        <v>945</v>
      </c>
      <c r="L263" s="23" t="s">
        <v>844</v>
      </c>
      <c r="M263" s="23" t="s">
        <v>556</v>
      </c>
    </row>
    <row r="264" spans="10:13" x14ac:dyDescent="0.2">
      <c r="J264" s="23" t="s">
        <v>946</v>
      </c>
      <c r="K264" s="23" t="s">
        <v>947</v>
      </c>
      <c r="L264" s="23" t="s">
        <v>844</v>
      </c>
      <c r="M264" s="23" t="s">
        <v>556</v>
      </c>
    </row>
    <row r="265" spans="10:13" x14ac:dyDescent="0.2">
      <c r="J265" s="23" t="s">
        <v>948</v>
      </c>
      <c r="K265" s="23" t="s">
        <v>949</v>
      </c>
      <c r="L265" s="23" t="s">
        <v>844</v>
      </c>
      <c r="M265" s="23" t="s">
        <v>556</v>
      </c>
    </row>
    <row r="266" spans="10:13" x14ac:dyDescent="0.2">
      <c r="J266" s="23" t="s">
        <v>499</v>
      </c>
      <c r="K266" s="23" t="s">
        <v>950</v>
      </c>
      <c r="L266" s="23" t="s">
        <v>844</v>
      </c>
      <c r="M266" s="23" t="s">
        <v>556</v>
      </c>
    </row>
    <row r="267" spans="10:13" x14ac:dyDescent="0.2">
      <c r="J267" s="23" t="s">
        <v>951</v>
      </c>
      <c r="K267" s="23" t="s">
        <v>952</v>
      </c>
      <c r="L267" s="23" t="s">
        <v>844</v>
      </c>
      <c r="M267" s="23" t="s">
        <v>556</v>
      </c>
    </row>
    <row r="268" spans="10:13" x14ac:dyDescent="0.2">
      <c r="J268" s="23" t="s">
        <v>953</v>
      </c>
      <c r="K268" s="23" t="s">
        <v>950</v>
      </c>
      <c r="L268" s="23" t="s">
        <v>844</v>
      </c>
      <c r="M268" s="23" t="s">
        <v>556</v>
      </c>
    </row>
    <row r="269" spans="10:13" x14ac:dyDescent="0.2">
      <c r="J269" s="23" t="s">
        <v>954</v>
      </c>
      <c r="K269" s="23" t="s">
        <v>955</v>
      </c>
      <c r="L269" s="23" t="s">
        <v>844</v>
      </c>
      <c r="M269" s="23" t="s">
        <v>556</v>
      </c>
    </row>
    <row r="270" spans="10:13" x14ac:dyDescent="0.2">
      <c r="J270" s="23" t="s">
        <v>956</v>
      </c>
      <c r="K270" s="23" t="s">
        <v>955</v>
      </c>
      <c r="L270" s="23" t="s">
        <v>844</v>
      </c>
      <c r="M270" s="23" t="s">
        <v>556</v>
      </c>
    </row>
    <row r="271" spans="10:13" x14ac:dyDescent="0.2">
      <c r="J271" s="23" t="s">
        <v>957</v>
      </c>
      <c r="K271" s="23" t="s">
        <v>955</v>
      </c>
      <c r="L271" s="23" t="s">
        <v>844</v>
      </c>
      <c r="M271" s="23" t="s">
        <v>556</v>
      </c>
    </row>
    <row r="272" spans="10:13" x14ac:dyDescent="0.2">
      <c r="J272" s="23" t="s">
        <v>958</v>
      </c>
      <c r="K272" s="23" t="s">
        <v>959</v>
      </c>
      <c r="L272" s="23" t="s">
        <v>844</v>
      </c>
      <c r="M272" s="23" t="s">
        <v>556</v>
      </c>
    </row>
    <row r="273" spans="10:13" x14ac:dyDescent="0.2">
      <c r="J273" s="23" t="s">
        <v>960</v>
      </c>
      <c r="K273" s="23" t="s">
        <v>961</v>
      </c>
      <c r="L273" s="23" t="s">
        <v>844</v>
      </c>
      <c r="M273" s="23" t="s">
        <v>556</v>
      </c>
    </row>
    <row r="274" spans="10:13" x14ac:dyDescent="0.2">
      <c r="J274" s="23" t="s">
        <v>962</v>
      </c>
      <c r="K274" s="23" t="s">
        <v>963</v>
      </c>
      <c r="L274" s="23" t="s">
        <v>844</v>
      </c>
      <c r="M274" s="23" t="s">
        <v>556</v>
      </c>
    </row>
    <row r="275" spans="10:13" x14ac:dyDescent="0.2">
      <c r="J275" s="23" t="s">
        <v>964</v>
      </c>
      <c r="K275" s="23" t="s">
        <v>963</v>
      </c>
      <c r="L275" s="23" t="s">
        <v>844</v>
      </c>
      <c r="M275" s="23" t="s">
        <v>556</v>
      </c>
    </row>
    <row r="276" spans="10:13" x14ac:dyDescent="0.2">
      <c r="J276" s="23" t="s">
        <v>965</v>
      </c>
      <c r="K276" s="23" t="s">
        <v>963</v>
      </c>
      <c r="L276" s="23" t="s">
        <v>844</v>
      </c>
      <c r="M276" s="23" t="s">
        <v>556</v>
      </c>
    </row>
    <row r="277" spans="10:13" x14ac:dyDescent="0.2">
      <c r="J277" s="23" t="s">
        <v>966</v>
      </c>
      <c r="K277" s="23" t="s">
        <v>967</v>
      </c>
      <c r="L277" s="23" t="s">
        <v>844</v>
      </c>
      <c r="M277" s="23" t="s">
        <v>556</v>
      </c>
    </row>
    <row r="278" spans="10:13" x14ac:dyDescent="0.2">
      <c r="J278" s="23" t="s">
        <v>968</v>
      </c>
      <c r="K278" s="23" t="s">
        <v>967</v>
      </c>
      <c r="L278" s="23" t="s">
        <v>844</v>
      </c>
      <c r="M278" s="23" t="s">
        <v>556</v>
      </c>
    </row>
    <row r="279" spans="10:13" x14ac:dyDescent="0.2">
      <c r="J279" s="23" t="s">
        <v>500</v>
      </c>
      <c r="K279" s="23" t="s">
        <v>967</v>
      </c>
      <c r="L279" s="23" t="s">
        <v>844</v>
      </c>
      <c r="M279" s="23" t="s">
        <v>556</v>
      </c>
    </row>
    <row r="280" spans="10:13" x14ac:dyDescent="0.2">
      <c r="J280" s="23" t="s">
        <v>501</v>
      </c>
      <c r="K280" s="23" t="s">
        <v>969</v>
      </c>
      <c r="L280" s="23" t="s">
        <v>844</v>
      </c>
      <c r="M280" s="23" t="s">
        <v>556</v>
      </c>
    </row>
    <row r="281" spans="10:13" x14ac:dyDescent="0.2">
      <c r="J281" s="23" t="s">
        <v>970</v>
      </c>
      <c r="K281" s="23" t="s">
        <v>971</v>
      </c>
      <c r="L281" s="23" t="s">
        <v>844</v>
      </c>
      <c r="M281" s="23" t="s">
        <v>556</v>
      </c>
    </row>
    <row r="282" spans="10:13" x14ac:dyDescent="0.2">
      <c r="J282" s="23" t="s">
        <v>972</v>
      </c>
      <c r="K282" s="23" t="s">
        <v>973</v>
      </c>
      <c r="L282" s="23" t="s">
        <v>844</v>
      </c>
      <c r="M282" s="23" t="s">
        <v>556</v>
      </c>
    </row>
    <row r="283" spans="10:13" x14ac:dyDescent="0.2">
      <c r="J283" s="23" t="s">
        <v>974</v>
      </c>
      <c r="K283" s="23" t="s">
        <v>975</v>
      </c>
      <c r="L283" s="23" t="s">
        <v>844</v>
      </c>
      <c r="M283" s="23" t="s">
        <v>556</v>
      </c>
    </row>
    <row r="284" spans="10:13" x14ac:dyDescent="0.2">
      <c r="J284" s="23" t="s">
        <v>976</v>
      </c>
      <c r="K284" s="23" t="s">
        <v>977</v>
      </c>
      <c r="L284" s="23" t="s">
        <v>844</v>
      </c>
      <c r="M284" s="23" t="s">
        <v>556</v>
      </c>
    </row>
    <row r="285" spans="10:13" x14ac:dyDescent="0.2">
      <c r="J285" s="23" t="s">
        <v>502</v>
      </c>
      <c r="K285" s="23" t="s">
        <v>978</v>
      </c>
      <c r="L285" s="23" t="s">
        <v>844</v>
      </c>
      <c r="M285" s="23" t="s">
        <v>556</v>
      </c>
    </row>
    <row r="286" spans="10:13" x14ac:dyDescent="0.2">
      <c r="J286" s="23" t="s">
        <v>979</v>
      </c>
      <c r="K286" s="23" t="s">
        <v>980</v>
      </c>
      <c r="L286" s="23" t="s">
        <v>844</v>
      </c>
      <c r="M286" s="23" t="s">
        <v>556</v>
      </c>
    </row>
    <row r="287" spans="10:13" x14ac:dyDescent="0.2">
      <c r="J287" s="23" t="s">
        <v>981</v>
      </c>
      <c r="K287" s="23" t="s">
        <v>982</v>
      </c>
      <c r="L287" s="23" t="s">
        <v>844</v>
      </c>
      <c r="M287" s="23" t="s">
        <v>556</v>
      </c>
    </row>
    <row r="288" spans="10:13" x14ac:dyDescent="0.2">
      <c r="J288" s="23" t="s">
        <v>983</v>
      </c>
      <c r="K288" s="23" t="s">
        <v>982</v>
      </c>
      <c r="L288" s="23" t="s">
        <v>844</v>
      </c>
      <c r="M288" s="23" t="s">
        <v>556</v>
      </c>
    </row>
    <row r="289" spans="10:13" x14ac:dyDescent="0.2">
      <c r="J289" s="23" t="s">
        <v>984</v>
      </c>
      <c r="K289" s="23" t="s">
        <v>982</v>
      </c>
      <c r="L289" s="23" t="s">
        <v>844</v>
      </c>
      <c r="M289" s="23" t="s">
        <v>556</v>
      </c>
    </row>
    <row r="290" spans="10:13" x14ac:dyDescent="0.2">
      <c r="J290" s="23" t="s">
        <v>985</v>
      </c>
      <c r="K290" s="23" t="s">
        <v>982</v>
      </c>
      <c r="L290" s="23" t="s">
        <v>844</v>
      </c>
      <c r="M290" s="23" t="s">
        <v>556</v>
      </c>
    </row>
    <row r="291" spans="10:13" x14ac:dyDescent="0.2">
      <c r="J291" s="23" t="s">
        <v>986</v>
      </c>
      <c r="K291" s="23" t="s">
        <v>987</v>
      </c>
      <c r="L291" s="23" t="s">
        <v>844</v>
      </c>
      <c r="M291" s="23" t="s">
        <v>556</v>
      </c>
    </row>
    <row r="292" spans="10:13" x14ac:dyDescent="0.2">
      <c r="J292" s="23" t="s">
        <v>988</v>
      </c>
      <c r="K292" s="23" t="s">
        <v>989</v>
      </c>
      <c r="L292" s="23" t="s">
        <v>844</v>
      </c>
      <c r="M292" s="23" t="s">
        <v>556</v>
      </c>
    </row>
    <row r="293" spans="10:13" x14ac:dyDescent="0.2">
      <c r="J293" s="23" t="s">
        <v>503</v>
      </c>
      <c r="K293" s="23" t="s">
        <v>990</v>
      </c>
      <c r="L293" s="23" t="s">
        <v>844</v>
      </c>
      <c r="M293" s="23" t="s">
        <v>556</v>
      </c>
    </row>
    <row r="294" spans="10:13" x14ac:dyDescent="0.2">
      <c r="J294" s="23" t="s">
        <v>504</v>
      </c>
      <c r="K294" s="23" t="s">
        <v>991</v>
      </c>
      <c r="L294" s="23" t="s">
        <v>844</v>
      </c>
      <c r="M294" s="23" t="s">
        <v>556</v>
      </c>
    </row>
    <row r="295" spans="10:13" x14ac:dyDescent="0.2">
      <c r="J295" s="23" t="s">
        <v>992</v>
      </c>
      <c r="K295" s="23" t="s">
        <v>993</v>
      </c>
      <c r="L295" s="23" t="s">
        <v>844</v>
      </c>
      <c r="M295" s="23" t="s">
        <v>556</v>
      </c>
    </row>
    <row r="296" spans="10:13" x14ac:dyDescent="0.2">
      <c r="J296" s="23" t="s">
        <v>505</v>
      </c>
      <c r="K296" s="23" t="s">
        <v>994</v>
      </c>
      <c r="L296" s="23" t="s">
        <v>844</v>
      </c>
      <c r="M296" s="23" t="s">
        <v>556</v>
      </c>
    </row>
    <row r="297" spans="10:13" x14ac:dyDescent="0.2">
      <c r="J297" s="23" t="s">
        <v>995</v>
      </c>
      <c r="K297" s="23" t="s">
        <v>996</v>
      </c>
      <c r="L297" s="23" t="s">
        <v>844</v>
      </c>
      <c r="M297" s="23" t="s">
        <v>556</v>
      </c>
    </row>
    <row r="298" spans="10:13" x14ac:dyDescent="0.2">
      <c r="J298" s="23" t="s">
        <v>997</v>
      </c>
      <c r="K298" s="23" t="s">
        <v>998</v>
      </c>
      <c r="L298" s="23" t="s">
        <v>844</v>
      </c>
      <c r="M298" s="23" t="s">
        <v>556</v>
      </c>
    </row>
    <row r="299" spans="10:13" x14ac:dyDescent="0.2">
      <c r="J299" s="23" t="s">
        <v>999</v>
      </c>
      <c r="K299" s="23" t="s">
        <v>998</v>
      </c>
      <c r="L299" s="23" t="s">
        <v>844</v>
      </c>
      <c r="M299" s="23" t="s">
        <v>556</v>
      </c>
    </row>
    <row r="300" spans="10:13" x14ac:dyDescent="0.2">
      <c r="J300" s="23" t="s">
        <v>1000</v>
      </c>
      <c r="K300" s="23" t="s">
        <v>998</v>
      </c>
      <c r="L300" s="23" t="s">
        <v>844</v>
      </c>
      <c r="M300" s="23" t="s">
        <v>556</v>
      </c>
    </row>
    <row r="301" spans="10:13" x14ac:dyDescent="0.2">
      <c r="J301" s="23" t="s">
        <v>1001</v>
      </c>
      <c r="K301" s="23" t="s">
        <v>998</v>
      </c>
      <c r="L301" s="23" t="s">
        <v>844</v>
      </c>
      <c r="M301" s="23" t="s">
        <v>556</v>
      </c>
    </row>
    <row r="302" spans="10:13" x14ac:dyDescent="0.2">
      <c r="J302" s="23" t="s">
        <v>1002</v>
      </c>
      <c r="K302" s="23" t="s">
        <v>1003</v>
      </c>
      <c r="L302" s="23" t="s">
        <v>844</v>
      </c>
      <c r="M302" s="23" t="s">
        <v>556</v>
      </c>
    </row>
    <row r="303" spans="10:13" x14ac:dyDescent="0.2">
      <c r="J303" s="23" t="s">
        <v>1004</v>
      </c>
      <c r="K303" s="23" t="s">
        <v>1003</v>
      </c>
      <c r="L303" s="23" t="s">
        <v>844</v>
      </c>
      <c r="M303" s="23" t="s">
        <v>556</v>
      </c>
    </row>
    <row r="304" spans="10:13" x14ac:dyDescent="0.2">
      <c r="J304" s="23" t="s">
        <v>1005</v>
      </c>
      <c r="K304" s="23" t="s">
        <v>1003</v>
      </c>
      <c r="L304" s="23" t="s">
        <v>844</v>
      </c>
      <c r="M304" s="23" t="s">
        <v>556</v>
      </c>
    </row>
    <row r="305" spans="10:13" x14ac:dyDescent="0.2">
      <c r="J305" s="23" t="s">
        <v>1006</v>
      </c>
      <c r="K305" s="23" t="s">
        <v>1003</v>
      </c>
      <c r="L305" s="23" t="s">
        <v>844</v>
      </c>
      <c r="M305" s="23" t="s">
        <v>556</v>
      </c>
    </row>
    <row r="306" spans="10:13" x14ac:dyDescent="0.2">
      <c r="J306" s="23" t="s">
        <v>1007</v>
      </c>
      <c r="K306" s="23" t="s">
        <v>1008</v>
      </c>
      <c r="L306" s="23" t="s">
        <v>844</v>
      </c>
      <c r="M306" s="23" t="s">
        <v>556</v>
      </c>
    </row>
    <row r="307" spans="10:13" x14ac:dyDescent="0.2">
      <c r="J307" s="23" t="s">
        <v>1009</v>
      </c>
      <c r="K307" s="23" t="s">
        <v>1008</v>
      </c>
      <c r="L307" s="23" t="s">
        <v>844</v>
      </c>
      <c r="M307" s="23" t="s">
        <v>556</v>
      </c>
    </row>
    <row r="308" spans="10:13" x14ac:dyDescent="0.2">
      <c r="J308" s="23" t="s">
        <v>1010</v>
      </c>
      <c r="K308" s="23" t="s">
        <v>1008</v>
      </c>
      <c r="L308" s="23" t="s">
        <v>844</v>
      </c>
      <c r="M308" s="23" t="s">
        <v>556</v>
      </c>
    </row>
    <row r="309" spans="10:13" x14ac:dyDescent="0.2">
      <c r="J309" s="23" t="s">
        <v>1011</v>
      </c>
      <c r="K309" s="23" t="s">
        <v>1008</v>
      </c>
      <c r="L309" s="23" t="s">
        <v>844</v>
      </c>
      <c r="M309" s="23" t="s">
        <v>556</v>
      </c>
    </row>
    <row r="310" spans="10:13" x14ac:dyDescent="0.2">
      <c r="J310" s="23" t="s">
        <v>1012</v>
      </c>
      <c r="K310" s="23" t="s">
        <v>1013</v>
      </c>
      <c r="L310" s="23" t="s">
        <v>844</v>
      </c>
      <c r="M310" s="23" t="s">
        <v>556</v>
      </c>
    </row>
    <row r="311" spans="10:13" x14ac:dyDescent="0.2">
      <c r="J311" s="23" t="s">
        <v>1014</v>
      </c>
      <c r="K311" s="23" t="s">
        <v>1013</v>
      </c>
      <c r="L311" s="23" t="s">
        <v>844</v>
      </c>
      <c r="M311" s="23" t="s">
        <v>556</v>
      </c>
    </row>
    <row r="312" spans="10:13" x14ac:dyDescent="0.2">
      <c r="J312" s="23" t="s">
        <v>1015</v>
      </c>
      <c r="K312" s="23" t="s">
        <v>1013</v>
      </c>
      <c r="L312" s="23" t="s">
        <v>844</v>
      </c>
      <c r="M312" s="23" t="s">
        <v>556</v>
      </c>
    </row>
    <row r="313" spans="10:13" x14ac:dyDescent="0.2">
      <c r="J313" s="23" t="s">
        <v>1016</v>
      </c>
      <c r="K313" s="23" t="s">
        <v>1013</v>
      </c>
      <c r="L313" s="23" t="s">
        <v>844</v>
      </c>
      <c r="M313" s="23" t="s">
        <v>556</v>
      </c>
    </row>
    <row r="314" spans="10:13" x14ac:dyDescent="0.2">
      <c r="J314" s="23" t="s">
        <v>1017</v>
      </c>
      <c r="K314" s="23" t="s">
        <v>1018</v>
      </c>
      <c r="L314" s="23" t="s">
        <v>844</v>
      </c>
      <c r="M314" s="23" t="s">
        <v>556</v>
      </c>
    </row>
    <row r="315" spans="10:13" x14ac:dyDescent="0.2">
      <c r="J315" s="23" t="s">
        <v>1019</v>
      </c>
      <c r="K315" s="23" t="s">
        <v>1018</v>
      </c>
      <c r="L315" s="23" t="s">
        <v>844</v>
      </c>
      <c r="M315" s="23" t="s">
        <v>556</v>
      </c>
    </row>
    <row r="316" spans="10:13" x14ac:dyDescent="0.2">
      <c r="J316" s="23" t="s">
        <v>1020</v>
      </c>
      <c r="K316" s="23" t="s">
        <v>1018</v>
      </c>
      <c r="L316" s="23" t="s">
        <v>844</v>
      </c>
      <c r="M316" s="23" t="s">
        <v>556</v>
      </c>
    </row>
    <row r="317" spans="10:13" x14ac:dyDescent="0.2">
      <c r="J317" s="23" t="s">
        <v>1021</v>
      </c>
      <c r="K317" s="23" t="s">
        <v>1018</v>
      </c>
      <c r="L317" s="23" t="s">
        <v>844</v>
      </c>
      <c r="M317" s="23" t="s">
        <v>556</v>
      </c>
    </row>
    <row r="318" spans="10:13" x14ac:dyDescent="0.2">
      <c r="J318" s="23" t="s">
        <v>1022</v>
      </c>
      <c r="K318" s="23" t="s">
        <v>1023</v>
      </c>
      <c r="L318" s="23" t="s">
        <v>844</v>
      </c>
      <c r="M318" s="23" t="s">
        <v>556</v>
      </c>
    </row>
    <row r="319" spans="10:13" x14ac:dyDescent="0.2">
      <c r="J319" s="23" t="s">
        <v>1024</v>
      </c>
      <c r="K319" s="23" t="s">
        <v>1025</v>
      </c>
      <c r="L319" s="23" t="s">
        <v>844</v>
      </c>
      <c r="M319" s="23" t="s">
        <v>556</v>
      </c>
    </row>
    <row r="320" spans="10:13" x14ac:dyDescent="0.2">
      <c r="J320" s="23" t="s">
        <v>1026</v>
      </c>
      <c r="K320" s="23" t="s">
        <v>1027</v>
      </c>
      <c r="L320" s="23" t="s">
        <v>844</v>
      </c>
      <c r="M320" s="23" t="s">
        <v>556</v>
      </c>
    </row>
    <row r="321" spans="10:13" x14ac:dyDescent="0.2">
      <c r="J321" s="23" t="s">
        <v>506</v>
      </c>
      <c r="K321" s="23" t="s">
        <v>1028</v>
      </c>
      <c r="L321" s="23" t="s">
        <v>844</v>
      </c>
      <c r="M321" s="23" t="s">
        <v>556</v>
      </c>
    </row>
    <row r="322" spans="10:13" x14ac:dyDescent="0.2">
      <c r="J322" s="23" t="s">
        <v>1029</v>
      </c>
      <c r="K322" s="23" t="s">
        <v>1030</v>
      </c>
      <c r="L322" s="23" t="s">
        <v>844</v>
      </c>
      <c r="M322" s="23" t="s">
        <v>556</v>
      </c>
    </row>
    <row r="323" spans="10:13" x14ac:dyDescent="0.2">
      <c r="J323" s="23" t="s">
        <v>1031</v>
      </c>
      <c r="K323" s="23" t="s">
        <v>1030</v>
      </c>
      <c r="L323" s="23" t="s">
        <v>844</v>
      </c>
      <c r="M323" s="23" t="s">
        <v>556</v>
      </c>
    </row>
    <row r="324" spans="10:13" x14ac:dyDescent="0.2">
      <c r="J324" s="23" t="s">
        <v>1032</v>
      </c>
      <c r="K324" s="23" t="s">
        <v>1030</v>
      </c>
      <c r="L324" s="23" t="s">
        <v>844</v>
      </c>
      <c r="M324" s="23" t="s">
        <v>556</v>
      </c>
    </row>
    <row r="325" spans="10:13" x14ac:dyDescent="0.2">
      <c r="J325" s="23" t="s">
        <v>1033</v>
      </c>
      <c r="K325" s="23" t="s">
        <v>1030</v>
      </c>
      <c r="L325" s="23" t="s">
        <v>844</v>
      </c>
      <c r="M325" s="23" t="s">
        <v>556</v>
      </c>
    </row>
    <row r="326" spans="10:13" x14ac:dyDescent="0.2">
      <c r="J326" s="23" t="s">
        <v>1034</v>
      </c>
      <c r="K326" s="23" t="s">
        <v>1035</v>
      </c>
      <c r="L326" s="23" t="s">
        <v>844</v>
      </c>
      <c r="M326" s="23" t="s">
        <v>556</v>
      </c>
    </row>
    <row r="327" spans="10:13" x14ac:dyDescent="0.2">
      <c r="J327" s="23" t="s">
        <v>507</v>
      </c>
      <c r="K327" s="23" t="s">
        <v>898</v>
      </c>
      <c r="L327" s="23" t="s">
        <v>844</v>
      </c>
      <c r="M327" s="23" t="s">
        <v>556</v>
      </c>
    </row>
    <row r="328" spans="10:13" x14ac:dyDescent="0.2">
      <c r="J328" s="23" t="s">
        <v>1036</v>
      </c>
      <c r="K328" s="23" t="s">
        <v>1037</v>
      </c>
      <c r="L328" s="23" t="s">
        <v>844</v>
      </c>
      <c r="M328" s="23" t="s">
        <v>556</v>
      </c>
    </row>
    <row r="329" spans="10:13" x14ac:dyDescent="0.2">
      <c r="J329" s="23" t="s">
        <v>1038</v>
      </c>
      <c r="K329" s="23" t="s">
        <v>1039</v>
      </c>
      <c r="L329" s="23" t="s">
        <v>844</v>
      </c>
      <c r="M329" s="23" t="s">
        <v>556</v>
      </c>
    </row>
    <row r="330" spans="10:13" x14ac:dyDescent="0.2">
      <c r="J330" s="23" t="s">
        <v>508</v>
      </c>
      <c r="K330" s="23" t="s">
        <v>1040</v>
      </c>
      <c r="L330" s="23" t="s">
        <v>844</v>
      </c>
      <c r="M330" s="23" t="s">
        <v>556</v>
      </c>
    </row>
    <row r="331" spans="10:13" x14ac:dyDescent="0.2">
      <c r="J331" s="23" t="s">
        <v>1041</v>
      </c>
      <c r="K331" s="23" t="s">
        <v>1042</v>
      </c>
      <c r="L331" s="23" t="s">
        <v>844</v>
      </c>
      <c r="M331" s="23" t="s">
        <v>556</v>
      </c>
    </row>
    <row r="332" spans="10:13" x14ac:dyDescent="0.2">
      <c r="J332" s="23" t="s">
        <v>1043</v>
      </c>
      <c r="K332" s="23" t="s">
        <v>1044</v>
      </c>
      <c r="L332" s="23" t="s">
        <v>844</v>
      </c>
      <c r="M332" s="23" t="s">
        <v>556</v>
      </c>
    </row>
    <row r="333" spans="10:13" x14ac:dyDescent="0.2">
      <c r="J333" s="23" t="s">
        <v>1045</v>
      </c>
      <c r="K333" s="23" t="s">
        <v>1044</v>
      </c>
      <c r="L333" s="23" t="s">
        <v>844</v>
      </c>
      <c r="M333" s="23" t="s">
        <v>556</v>
      </c>
    </row>
    <row r="334" spans="10:13" x14ac:dyDescent="0.2">
      <c r="J334" s="23" t="s">
        <v>1046</v>
      </c>
      <c r="K334" s="23" t="s">
        <v>1044</v>
      </c>
      <c r="L334" s="23" t="s">
        <v>844</v>
      </c>
      <c r="M334" s="23" t="s">
        <v>556</v>
      </c>
    </row>
    <row r="335" spans="10:13" x14ac:dyDescent="0.2">
      <c r="J335" s="23" t="s">
        <v>1047</v>
      </c>
      <c r="K335" s="23" t="s">
        <v>1044</v>
      </c>
      <c r="L335" s="23" t="s">
        <v>844</v>
      </c>
      <c r="M335" s="23" t="s">
        <v>556</v>
      </c>
    </row>
    <row r="336" spans="10:13" x14ac:dyDescent="0.2">
      <c r="J336" s="23" t="s">
        <v>1048</v>
      </c>
      <c r="K336" s="23" t="s">
        <v>1035</v>
      </c>
      <c r="L336" s="23" t="s">
        <v>844</v>
      </c>
      <c r="M336" s="23" t="s">
        <v>556</v>
      </c>
    </row>
    <row r="337" spans="10:13" x14ac:dyDescent="0.2">
      <c r="J337" s="23" t="s">
        <v>1049</v>
      </c>
      <c r="K337" s="23" t="s">
        <v>1050</v>
      </c>
      <c r="L337" s="23" t="s">
        <v>844</v>
      </c>
      <c r="M337" s="23" t="s">
        <v>556</v>
      </c>
    </row>
    <row r="338" spans="10:13" x14ac:dyDescent="0.2">
      <c r="J338" s="23" t="s">
        <v>1051</v>
      </c>
      <c r="K338" s="23" t="s">
        <v>1050</v>
      </c>
      <c r="L338" s="23" t="s">
        <v>844</v>
      </c>
      <c r="M338" s="23" t="s">
        <v>556</v>
      </c>
    </row>
    <row r="339" spans="10:13" x14ac:dyDescent="0.2">
      <c r="J339" s="23" t="s">
        <v>1052</v>
      </c>
      <c r="K339" s="23" t="s">
        <v>1050</v>
      </c>
      <c r="L339" s="23" t="s">
        <v>844</v>
      </c>
      <c r="M339" s="23" t="s">
        <v>556</v>
      </c>
    </row>
    <row r="340" spans="10:13" x14ac:dyDescent="0.2">
      <c r="J340" s="23" t="s">
        <v>1053</v>
      </c>
      <c r="K340" s="23" t="s">
        <v>1054</v>
      </c>
      <c r="L340" s="23" t="s">
        <v>844</v>
      </c>
      <c r="M340" s="23" t="s">
        <v>556</v>
      </c>
    </row>
    <row r="341" spans="10:13" x14ac:dyDescent="0.2">
      <c r="J341" s="23" t="s">
        <v>1055</v>
      </c>
      <c r="K341" s="23" t="s">
        <v>1050</v>
      </c>
      <c r="L341" s="23" t="s">
        <v>844</v>
      </c>
      <c r="M341" s="23" t="s">
        <v>556</v>
      </c>
    </row>
    <row r="342" spans="10:13" x14ac:dyDescent="0.2">
      <c r="J342" s="23" t="s">
        <v>1056</v>
      </c>
      <c r="K342" s="23" t="s">
        <v>1057</v>
      </c>
      <c r="L342" s="23" t="s">
        <v>844</v>
      </c>
      <c r="M342" s="23" t="s">
        <v>556</v>
      </c>
    </row>
    <row r="343" spans="10:13" x14ac:dyDescent="0.2">
      <c r="J343" s="23" t="s">
        <v>1058</v>
      </c>
      <c r="K343" s="23" t="s">
        <v>1059</v>
      </c>
      <c r="L343" s="23" t="s">
        <v>844</v>
      </c>
      <c r="M343" s="23" t="s">
        <v>556</v>
      </c>
    </row>
    <row r="344" spans="10:13" x14ac:dyDescent="0.2">
      <c r="J344" s="23" t="s">
        <v>1060</v>
      </c>
      <c r="K344" s="23" t="s">
        <v>1061</v>
      </c>
      <c r="L344" s="23" t="s">
        <v>844</v>
      </c>
      <c r="M344" s="23" t="s">
        <v>556</v>
      </c>
    </row>
    <row r="345" spans="10:13" x14ac:dyDescent="0.2">
      <c r="J345" s="23" t="s">
        <v>144</v>
      </c>
      <c r="K345" s="23" t="s">
        <v>942</v>
      </c>
      <c r="L345" s="23" t="s">
        <v>835</v>
      </c>
      <c r="M345" s="23" t="s">
        <v>556</v>
      </c>
    </row>
    <row r="346" spans="10:13" x14ac:dyDescent="0.2">
      <c r="J346" s="23" t="s">
        <v>146</v>
      </c>
      <c r="K346" s="23" t="s">
        <v>1062</v>
      </c>
      <c r="L346" s="23" t="s">
        <v>844</v>
      </c>
      <c r="M346" s="23" t="s">
        <v>850</v>
      </c>
    </row>
    <row r="347" spans="10:13" x14ac:dyDescent="0.2">
      <c r="J347" s="23" t="s">
        <v>185</v>
      </c>
      <c r="K347" s="23" t="s">
        <v>1063</v>
      </c>
      <c r="L347" s="23" t="s">
        <v>844</v>
      </c>
      <c r="M347" s="23" t="s">
        <v>850</v>
      </c>
    </row>
    <row r="348" spans="10:13" x14ac:dyDescent="0.2">
      <c r="J348" s="23" t="s">
        <v>509</v>
      </c>
      <c r="K348" s="23" t="s">
        <v>1064</v>
      </c>
      <c r="L348" s="23" t="s">
        <v>844</v>
      </c>
      <c r="M348" s="23" t="s">
        <v>556</v>
      </c>
    </row>
    <row r="349" spans="10:13" x14ac:dyDescent="0.2">
      <c r="J349" s="23" t="s">
        <v>510</v>
      </c>
      <c r="K349" s="23" t="s">
        <v>1065</v>
      </c>
      <c r="L349" s="23" t="s">
        <v>844</v>
      </c>
      <c r="M349" s="23" t="s">
        <v>556</v>
      </c>
    </row>
    <row r="350" spans="10:13" x14ac:dyDescent="0.2">
      <c r="J350" s="23" t="s">
        <v>141</v>
      </c>
      <c r="K350" s="23" t="s">
        <v>1066</v>
      </c>
      <c r="L350" s="23" t="s">
        <v>844</v>
      </c>
      <c r="M350" s="23" t="s">
        <v>556</v>
      </c>
    </row>
    <row r="351" spans="10:13" x14ac:dyDescent="0.2">
      <c r="J351" s="23" t="s">
        <v>143</v>
      </c>
      <c r="K351" s="23" t="s">
        <v>1067</v>
      </c>
      <c r="L351" s="23" t="s">
        <v>844</v>
      </c>
      <c r="M351" s="23" t="s">
        <v>556</v>
      </c>
    </row>
    <row r="352" spans="10:13" x14ac:dyDescent="0.2">
      <c r="J352" s="23" t="s">
        <v>145</v>
      </c>
      <c r="K352" s="23" t="s">
        <v>1068</v>
      </c>
      <c r="L352" s="23" t="s">
        <v>844</v>
      </c>
      <c r="M352" s="23" t="s">
        <v>556</v>
      </c>
    </row>
    <row r="353" spans="10:13" x14ac:dyDescent="0.2">
      <c r="J353" s="23" t="s">
        <v>1069</v>
      </c>
      <c r="K353" s="23" t="s">
        <v>1070</v>
      </c>
      <c r="L353" s="23" t="s">
        <v>844</v>
      </c>
      <c r="M353" s="23" t="s">
        <v>556</v>
      </c>
    </row>
    <row r="354" spans="10:13" x14ac:dyDescent="0.2">
      <c r="J354" s="23" t="s">
        <v>511</v>
      </c>
      <c r="K354" s="23" t="s">
        <v>1071</v>
      </c>
      <c r="L354" s="23" t="s">
        <v>844</v>
      </c>
      <c r="M354" s="23" t="s">
        <v>556</v>
      </c>
    </row>
    <row r="355" spans="10:13" x14ac:dyDescent="0.2">
      <c r="J355" s="23" t="s">
        <v>153</v>
      </c>
      <c r="K355" s="23" t="s">
        <v>1072</v>
      </c>
      <c r="L355" s="23" t="s">
        <v>844</v>
      </c>
      <c r="M355" s="23" t="s">
        <v>850</v>
      </c>
    </row>
    <row r="356" spans="10:13" x14ac:dyDescent="0.2">
      <c r="J356" s="23" t="s">
        <v>154</v>
      </c>
      <c r="K356" s="23" t="s">
        <v>1073</v>
      </c>
      <c r="L356" s="23" t="s">
        <v>844</v>
      </c>
      <c r="M356" s="23" t="s">
        <v>850</v>
      </c>
    </row>
    <row r="357" spans="10:13" x14ac:dyDescent="0.2">
      <c r="J357" s="23" t="s">
        <v>147</v>
      </c>
      <c r="K357" s="23" t="s">
        <v>1074</v>
      </c>
      <c r="L357" s="23" t="s">
        <v>844</v>
      </c>
      <c r="M357" s="23" t="s">
        <v>850</v>
      </c>
    </row>
    <row r="358" spans="10:13" x14ac:dyDescent="0.2">
      <c r="J358" s="23" t="s">
        <v>152</v>
      </c>
      <c r="K358" s="23" t="s">
        <v>1075</v>
      </c>
      <c r="L358" s="23" t="s">
        <v>844</v>
      </c>
      <c r="M358" s="23" t="s">
        <v>850</v>
      </c>
    </row>
    <row r="359" spans="10:13" x14ac:dyDescent="0.2">
      <c r="J359" s="23" t="s">
        <v>182</v>
      </c>
      <c r="K359" s="23" t="s">
        <v>1076</v>
      </c>
      <c r="L359" s="23" t="s">
        <v>844</v>
      </c>
      <c r="M359" s="23" t="s">
        <v>850</v>
      </c>
    </row>
    <row r="360" spans="10:13" x14ac:dyDescent="0.2">
      <c r="J360" s="23" t="s">
        <v>1077</v>
      </c>
      <c r="K360" s="23" t="s">
        <v>1078</v>
      </c>
      <c r="L360" s="23" t="s">
        <v>844</v>
      </c>
      <c r="M360" s="23" t="s">
        <v>850</v>
      </c>
    </row>
    <row r="361" spans="10:13" x14ac:dyDescent="0.2">
      <c r="J361" s="23" t="s">
        <v>151</v>
      </c>
      <c r="K361" s="23" t="s">
        <v>1079</v>
      </c>
      <c r="L361" s="23" t="s">
        <v>844</v>
      </c>
      <c r="M361" s="23" t="s">
        <v>850</v>
      </c>
    </row>
    <row r="362" spans="10:13" x14ac:dyDescent="0.2">
      <c r="J362" s="23" t="s">
        <v>149</v>
      </c>
      <c r="K362" s="23" t="s">
        <v>1080</v>
      </c>
      <c r="L362" s="23" t="s">
        <v>844</v>
      </c>
      <c r="M362" s="23" t="s">
        <v>850</v>
      </c>
    </row>
    <row r="363" spans="10:13" x14ac:dyDescent="0.2">
      <c r="J363" s="23" t="s">
        <v>150</v>
      </c>
      <c r="K363" s="23" t="s">
        <v>1081</v>
      </c>
      <c r="L363" s="23" t="s">
        <v>844</v>
      </c>
      <c r="M363" s="23" t="s">
        <v>850</v>
      </c>
    </row>
    <row r="364" spans="10:13" x14ac:dyDescent="0.2">
      <c r="J364" s="23" t="s">
        <v>1082</v>
      </c>
      <c r="K364" s="23" t="s">
        <v>1083</v>
      </c>
      <c r="L364" s="23" t="s">
        <v>844</v>
      </c>
      <c r="M364" s="23" t="s">
        <v>556</v>
      </c>
    </row>
    <row r="365" spans="10:13" x14ac:dyDescent="0.2">
      <c r="J365" s="23" t="s">
        <v>140</v>
      </c>
      <c r="K365" s="23" t="s">
        <v>1084</v>
      </c>
      <c r="L365" s="23" t="s">
        <v>844</v>
      </c>
      <c r="M365" s="23" t="s">
        <v>556</v>
      </c>
    </row>
    <row r="366" spans="10:13" x14ac:dyDescent="0.2">
      <c r="J366" s="23" t="s">
        <v>1085</v>
      </c>
      <c r="K366" s="23" t="s">
        <v>1086</v>
      </c>
      <c r="L366" s="23" t="s">
        <v>844</v>
      </c>
      <c r="M366" s="23" t="s">
        <v>556</v>
      </c>
    </row>
    <row r="367" spans="10:13" x14ac:dyDescent="0.2">
      <c r="J367" s="23" t="s">
        <v>1087</v>
      </c>
      <c r="K367" s="23" t="s">
        <v>1088</v>
      </c>
      <c r="L367" s="23" t="s">
        <v>844</v>
      </c>
      <c r="M367" s="23" t="s">
        <v>556</v>
      </c>
    </row>
    <row r="368" spans="10:13" x14ac:dyDescent="0.2">
      <c r="J368" s="23" t="s">
        <v>1089</v>
      </c>
      <c r="K368" s="23" t="s">
        <v>1090</v>
      </c>
      <c r="L368" s="23" t="s">
        <v>844</v>
      </c>
      <c r="M368" s="23" t="s">
        <v>850</v>
      </c>
    </row>
    <row r="369" spans="10:13" x14ac:dyDescent="0.2">
      <c r="J369" s="23" t="s">
        <v>155</v>
      </c>
      <c r="K369" s="23" t="s">
        <v>1091</v>
      </c>
      <c r="L369" s="23" t="s">
        <v>844</v>
      </c>
      <c r="M369" s="23" t="s">
        <v>556</v>
      </c>
    </row>
    <row r="370" spans="10:13" x14ac:dyDescent="0.2">
      <c r="J370" s="23" t="s">
        <v>159</v>
      </c>
      <c r="K370" s="23" t="s">
        <v>1092</v>
      </c>
      <c r="L370" s="23" t="s">
        <v>844</v>
      </c>
      <c r="M370" s="23" t="s">
        <v>556</v>
      </c>
    </row>
    <row r="371" spans="10:13" x14ac:dyDescent="0.2">
      <c r="J371" s="23" t="s">
        <v>157</v>
      </c>
      <c r="K371" s="23" t="s">
        <v>1093</v>
      </c>
      <c r="L371" s="23" t="s">
        <v>844</v>
      </c>
      <c r="M371" s="23" t="s">
        <v>556</v>
      </c>
    </row>
    <row r="372" spans="10:13" x14ac:dyDescent="0.2">
      <c r="J372" s="23" t="s">
        <v>184</v>
      </c>
      <c r="K372" s="23" t="s">
        <v>1094</v>
      </c>
      <c r="L372" s="23" t="s">
        <v>844</v>
      </c>
      <c r="M372" s="23" t="s">
        <v>556</v>
      </c>
    </row>
    <row r="373" spans="10:13" x14ac:dyDescent="0.2">
      <c r="J373" s="23" t="s">
        <v>183</v>
      </c>
      <c r="K373" s="23" t="s">
        <v>1095</v>
      </c>
      <c r="L373" s="23" t="s">
        <v>844</v>
      </c>
      <c r="M373" s="23" t="s">
        <v>556</v>
      </c>
    </row>
    <row r="374" spans="10:13" x14ac:dyDescent="0.2">
      <c r="J374" s="23" t="s">
        <v>512</v>
      </c>
      <c r="K374" s="23" t="s">
        <v>1096</v>
      </c>
      <c r="L374" s="23" t="s">
        <v>844</v>
      </c>
      <c r="M374" s="23" t="s">
        <v>556</v>
      </c>
    </row>
    <row r="375" spans="10:13" x14ac:dyDescent="0.2">
      <c r="J375" s="23" t="s">
        <v>162</v>
      </c>
      <c r="K375" s="23" t="s">
        <v>1097</v>
      </c>
      <c r="L375" s="23" t="s">
        <v>844</v>
      </c>
      <c r="M375" s="23" t="s">
        <v>850</v>
      </c>
    </row>
    <row r="376" spans="10:13" x14ac:dyDescent="0.2">
      <c r="J376" s="23" t="s">
        <v>161</v>
      </c>
      <c r="K376" s="23" t="s">
        <v>1098</v>
      </c>
      <c r="L376" s="23" t="s">
        <v>844</v>
      </c>
      <c r="M376" s="23" t="s">
        <v>556</v>
      </c>
    </row>
    <row r="377" spans="10:13" x14ac:dyDescent="0.2">
      <c r="J377" s="23" t="s">
        <v>158</v>
      </c>
      <c r="K377" s="23" t="s">
        <v>1099</v>
      </c>
      <c r="L377" s="23" t="s">
        <v>844</v>
      </c>
      <c r="M377" s="23" t="s">
        <v>850</v>
      </c>
    </row>
    <row r="378" spans="10:13" x14ac:dyDescent="0.2">
      <c r="J378" s="23" t="s">
        <v>160</v>
      </c>
      <c r="K378" s="23" t="s">
        <v>1100</v>
      </c>
      <c r="L378" s="23" t="s">
        <v>844</v>
      </c>
      <c r="M378" s="23" t="s">
        <v>556</v>
      </c>
    </row>
    <row r="379" spans="10:13" x14ac:dyDescent="0.2">
      <c r="J379" s="23" t="s">
        <v>163</v>
      </c>
      <c r="K379" s="23" t="s">
        <v>1101</v>
      </c>
      <c r="L379" s="23" t="s">
        <v>844</v>
      </c>
      <c r="M379" s="23" t="s">
        <v>556</v>
      </c>
    </row>
    <row r="380" spans="10:13" x14ac:dyDescent="0.2">
      <c r="J380" s="23" t="s">
        <v>513</v>
      </c>
      <c r="K380" s="23" t="s">
        <v>1102</v>
      </c>
      <c r="L380" s="23" t="s">
        <v>844</v>
      </c>
      <c r="M380" s="23" t="s">
        <v>556</v>
      </c>
    </row>
    <row r="381" spans="10:13" x14ac:dyDescent="0.2">
      <c r="J381" s="23" t="s">
        <v>514</v>
      </c>
      <c r="K381" s="23" t="s">
        <v>1103</v>
      </c>
      <c r="L381" s="23" t="s">
        <v>844</v>
      </c>
      <c r="M381" s="23" t="s">
        <v>556</v>
      </c>
    </row>
    <row r="382" spans="10:13" x14ac:dyDescent="0.2">
      <c r="J382" s="23" t="s">
        <v>515</v>
      </c>
      <c r="K382" s="23" t="s">
        <v>1104</v>
      </c>
      <c r="L382" s="23" t="s">
        <v>844</v>
      </c>
      <c r="M382" s="23" t="s">
        <v>556</v>
      </c>
    </row>
    <row r="383" spans="10:13" x14ac:dyDescent="0.2">
      <c r="J383" s="23" t="s">
        <v>129</v>
      </c>
      <c r="K383" s="23" t="s">
        <v>1105</v>
      </c>
      <c r="L383" s="23" t="s">
        <v>844</v>
      </c>
      <c r="M383" s="23" t="s">
        <v>556</v>
      </c>
    </row>
    <row r="384" spans="10:13" x14ac:dyDescent="0.2">
      <c r="J384" s="23" t="s">
        <v>130</v>
      </c>
      <c r="K384" s="23" t="s">
        <v>1106</v>
      </c>
      <c r="L384" s="23" t="s">
        <v>844</v>
      </c>
      <c r="M384" s="23" t="s">
        <v>556</v>
      </c>
    </row>
    <row r="385" spans="10:13" x14ac:dyDescent="0.2">
      <c r="J385" s="23" t="s">
        <v>120</v>
      </c>
      <c r="K385" s="23" t="s">
        <v>1107</v>
      </c>
      <c r="L385" s="23" t="s">
        <v>844</v>
      </c>
      <c r="M385" s="23" t="s">
        <v>556</v>
      </c>
    </row>
    <row r="386" spans="10:13" x14ac:dyDescent="0.2">
      <c r="J386" s="23" t="s">
        <v>123</v>
      </c>
      <c r="K386" s="23" t="s">
        <v>1108</v>
      </c>
      <c r="L386" s="23" t="s">
        <v>844</v>
      </c>
      <c r="M386" s="23" t="s">
        <v>556</v>
      </c>
    </row>
    <row r="387" spans="10:13" x14ac:dyDescent="0.2">
      <c r="J387" s="23" t="s">
        <v>125</v>
      </c>
      <c r="K387" s="23" t="s">
        <v>1109</v>
      </c>
      <c r="L387" s="23" t="s">
        <v>844</v>
      </c>
      <c r="M387" s="23" t="s">
        <v>556</v>
      </c>
    </row>
    <row r="388" spans="10:13" x14ac:dyDescent="0.2">
      <c r="J388" s="23" t="s">
        <v>126</v>
      </c>
      <c r="K388" s="23" t="s">
        <v>1110</v>
      </c>
      <c r="L388" s="23" t="s">
        <v>844</v>
      </c>
      <c r="M388" s="23" t="s">
        <v>850</v>
      </c>
    </row>
    <row r="389" spans="10:13" x14ac:dyDescent="0.2">
      <c r="J389" s="23" t="s">
        <v>122</v>
      </c>
      <c r="K389" s="23" t="s">
        <v>1111</v>
      </c>
      <c r="L389" s="23" t="s">
        <v>844</v>
      </c>
      <c r="M389" s="23" t="s">
        <v>556</v>
      </c>
    </row>
    <row r="390" spans="10:13" x14ac:dyDescent="0.2">
      <c r="J390" s="23" t="s">
        <v>124</v>
      </c>
      <c r="K390" s="23" t="s">
        <v>1112</v>
      </c>
      <c r="L390" s="23" t="s">
        <v>844</v>
      </c>
      <c r="M390" s="23" t="s">
        <v>556</v>
      </c>
    </row>
    <row r="391" spans="10:13" x14ac:dyDescent="0.2">
      <c r="J391" s="23" t="s">
        <v>127</v>
      </c>
      <c r="K391" s="23" t="s">
        <v>1113</v>
      </c>
      <c r="L391" s="23" t="s">
        <v>844</v>
      </c>
      <c r="M391" s="23" t="s">
        <v>556</v>
      </c>
    </row>
    <row r="392" spans="10:13" x14ac:dyDescent="0.2">
      <c r="J392" s="23" t="s">
        <v>516</v>
      </c>
      <c r="K392" s="23" t="s">
        <v>1114</v>
      </c>
      <c r="L392" s="23" t="s">
        <v>844</v>
      </c>
      <c r="M392" s="23" t="s">
        <v>556</v>
      </c>
    </row>
    <row r="393" spans="10:13" x14ac:dyDescent="0.2">
      <c r="J393" s="23" t="s">
        <v>128</v>
      </c>
      <c r="K393" s="23" t="s">
        <v>1115</v>
      </c>
      <c r="L393" s="23" t="s">
        <v>844</v>
      </c>
      <c r="M393" s="23" t="s">
        <v>556</v>
      </c>
    </row>
    <row r="394" spans="10:13" x14ac:dyDescent="0.2">
      <c r="J394" s="23" t="s">
        <v>517</v>
      </c>
      <c r="K394" s="23" t="s">
        <v>1116</v>
      </c>
      <c r="L394" s="23" t="s">
        <v>844</v>
      </c>
      <c r="M394" s="23" t="s">
        <v>556</v>
      </c>
    </row>
    <row r="395" spans="10:13" x14ac:dyDescent="0.2">
      <c r="J395" s="23" t="s">
        <v>1117</v>
      </c>
      <c r="K395" s="23" t="s">
        <v>1118</v>
      </c>
      <c r="L395" s="23" t="s">
        <v>844</v>
      </c>
      <c r="M395" s="23" t="s">
        <v>556</v>
      </c>
    </row>
    <row r="396" spans="10:13" x14ac:dyDescent="0.2">
      <c r="J396" s="23" t="s">
        <v>1119</v>
      </c>
      <c r="K396" s="23" t="s">
        <v>1120</v>
      </c>
      <c r="L396" s="23" t="s">
        <v>844</v>
      </c>
      <c r="M396" s="23" t="s">
        <v>556</v>
      </c>
    </row>
    <row r="397" spans="10:13" x14ac:dyDescent="0.2">
      <c r="J397" s="23" t="s">
        <v>1121</v>
      </c>
      <c r="K397" s="23" t="s">
        <v>1122</v>
      </c>
      <c r="L397" s="23" t="s">
        <v>844</v>
      </c>
      <c r="M397" s="23" t="s">
        <v>850</v>
      </c>
    </row>
    <row r="398" spans="10:13" x14ac:dyDescent="0.2">
      <c r="J398" s="23" t="s">
        <v>1123</v>
      </c>
      <c r="K398" s="23" t="s">
        <v>1124</v>
      </c>
      <c r="L398" s="23" t="s">
        <v>844</v>
      </c>
      <c r="M398" s="23" t="s">
        <v>556</v>
      </c>
    </row>
    <row r="399" spans="10:13" x14ac:dyDescent="0.2">
      <c r="J399" s="23" t="s">
        <v>1125</v>
      </c>
      <c r="K399" s="23" t="s">
        <v>1126</v>
      </c>
      <c r="L399" s="23" t="s">
        <v>844</v>
      </c>
      <c r="M399" s="23" t="s">
        <v>556</v>
      </c>
    </row>
    <row r="400" spans="10:13" x14ac:dyDescent="0.2">
      <c r="J400" s="23" t="s">
        <v>1127</v>
      </c>
      <c r="K400" s="23" t="s">
        <v>1128</v>
      </c>
      <c r="L400" s="23" t="s">
        <v>844</v>
      </c>
      <c r="M400" s="23" t="s">
        <v>850</v>
      </c>
    </row>
    <row r="401" spans="10:13" x14ac:dyDescent="0.2">
      <c r="J401" s="23" t="s">
        <v>1129</v>
      </c>
      <c r="K401" s="23" t="s">
        <v>1130</v>
      </c>
      <c r="L401" s="23" t="s">
        <v>844</v>
      </c>
      <c r="M401" s="23" t="s">
        <v>850</v>
      </c>
    </row>
    <row r="402" spans="10:13" x14ac:dyDescent="0.2">
      <c r="J402" s="23" t="s">
        <v>518</v>
      </c>
      <c r="K402" s="23" t="s">
        <v>1131</v>
      </c>
      <c r="L402" s="23" t="s">
        <v>844</v>
      </c>
      <c r="M402" s="23" t="s">
        <v>556</v>
      </c>
    </row>
    <row r="403" spans="10:13" x14ac:dyDescent="0.2">
      <c r="J403" s="23" t="s">
        <v>1132</v>
      </c>
      <c r="K403" s="23" t="s">
        <v>1133</v>
      </c>
      <c r="L403" s="23" t="s">
        <v>844</v>
      </c>
      <c r="M403" s="23" t="s">
        <v>556</v>
      </c>
    </row>
    <row r="404" spans="10:13" x14ac:dyDescent="0.2">
      <c r="J404" s="23" t="s">
        <v>135</v>
      </c>
      <c r="K404" s="23" t="s">
        <v>1134</v>
      </c>
      <c r="L404" s="23" t="s">
        <v>844</v>
      </c>
      <c r="M404" s="23" t="s">
        <v>556</v>
      </c>
    </row>
    <row r="405" spans="10:13" x14ac:dyDescent="0.2">
      <c r="J405" s="23" t="s">
        <v>519</v>
      </c>
      <c r="K405" s="23" t="s">
        <v>1135</v>
      </c>
      <c r="L405" s="23" t="s">
        <v>844</v>
      </c>
      <c r="M405" s="23" t="s">
        <v>556</v>
      </c>
    </row>
    <row r="406" spans="10:13" x14ac:dyDescent="0.2">
      <c r="J406" s="23" t="s">
        <v>132</v>
      </c>
      <c r="K406" s="23" t="s">
        <v>1136</v>
      </c>
      <c r="L406" s="23" t="s">
        <v>844</v>
      </c>
      <c r="M406" s="23" t="s">
        <v>556</v>
      </c>
    </row>
    <row r="407" spans="10:13" x14ac:dyDescent="0.2">
      <c r="J407" s="23" t="s">
        <v>136</v>
      </c>
      <c r="K407" s="23" t="s">
        <v>942</v>
      </c>
      <c r="L407" s="23" t="s">
        <v>835</v>
      </c>
      <c r="M407" s="23" t="s">
        <v>556</v>
      </c>
    </row>
    <row r="408" spans="10:13" x14ac:dyDescent="0.2">
      <c r="J408" s="23" t="s">
        <v>181</v>
      </c>
      <c r="K408" s="23" t="s">
        <v>1137</v>
      </c>
      <c r="L408" s="23" t="s">
        <v>844</v>
      </c>
      <c r="M408" s="23" t="s">
        <v>850</v>
      </c>
    </row>
    <row r="409" spans="10:13" x14ac:dyDescent="0.2">
      <c r="J409" s="23" t="s">
        <v>139</v>
      </c>
      <c r="K409" s="23" t="s">
        <v>1138</v>
      </c>
      <c r="L409" s="23" t="s">
        <v>844</v>
      </c>
      <c r="M409" s="23" t="s">
        <v>556</v>
      </c>
    </row>
    <row r="410" spans="10:13" x14ac:dyDescent="0.2">
      <c r="J410" s="23" t="s">
        <v>138</v>
      </c>
      <c r="K410" s="23" t="s">
        <v>1139</v>
      </c>
      <c r="L410" s="23" t="s">
        <v>844</v>
      </c>
      <c r="M410" s="23" t="s">
        <v>556</v>
      </c>
    </row>
    <row r="411" spans="10:13" x14ac:dyDescent="0.2">
      <c r="J411" s="23" t="s">
        <v>520</v>
      </c>
      <c r="K411" s="23" t="s">
        <v>1140</v>
      </c>
      <c r="L411" s="23" t="s">
        <v>844</v>
      </c>
      <c r="M411" s="23" t="s">
        <v>556</v>
      </c>
    </row>
    <row r="412" spans="10:13" x14ac:dyDescent="0.2">
      <c r="J412" s="23" t="s">
        <v>134</v>
      </c>
      <c r="K412" s="23" t="s">
        <v>1141</v>
      </c>
      <c r="L412" s="23" t="s">
        <v>844</v>
      </c>
      <c r="M412" s="23" t="s">
        <v>556</v>
      </c>
    </row>
    <row r="413" spans="10:13" x14ac:dyDescent="0.2">
      <c r="J413" s="23" t="s">
        <v>137</v>
      </c>
      <c r="K413" s="23" t="s">
        <v>1142</v>
      </c>
      <c r="L413" s="23" t="s">
        <v>844</v>
      </c>
      <c r="M413" s="23" t="s">
        <v>556</v>
      </c>
    </row>
    <row r="414" spans="10:13" x14ac:dyDescent="0.2">
      <c r="J414" s="23" t="s">
        <v>1143</v>
      </c>
      <c r="K414" s="23" t="s">
        <v>1144</v>
      </c>
      <c r="L414" s="23" t="s">
        <v>844</v>
      </c>
      <c r="M414" s="23" t="s">
        <v>556</v>
      </c>
    </row>
    <row r="415" spans="10:13" x14ac:dyDescent="0.2">
      <c r="J415" s="23" t="s">
        <v>1145</v>
      </c>
      <c r="K415" s="23" t="s">
        <v>1146</v>
      </c>
      <c r="L415" s="23" t="s">
        <v>844</v>
      </c>
      <c r="M415" s="23" t="s">
        <v>556</v>
      </c>
    </row>
    <row r="416" spans="10:13" x14ac:dyDescent="0.2">
      <c r="J416" s="23" t="s">
        <v>1147</v>
      </c>
      <c r="K416" s="23" t="s">
        <v>1146</v>
      </c>
      <c r="L416" s="23" t="s">
        <v>844</v>
      </c>
      <c r="M416" s="23" t="s">
        <v>556</v>
      </c>
    </row>
    <row r="417" spans="10:13" x14ac:dyDescent="0.2">
      <c r="J417" s="23" t="s">
        <v>1148</v>
      </c>
      <c r="K417" s="23" t="s">
        <v>1149</v>
      </c>
      <c r="L417" s="23" t="s">
        <v>844</v>
      </c>
      <c r="M417" s="23" t="s">
        <v>556</v>
      </c>
    </row>
    <row r="418" spans="10:13" x14ac:dyDescent="0.2">
      <c r="J418" s="23" t="s">
        <v>521</v>
      </c>
      <c r="K418" s="23" t="s">
        <v>1150</v>
      </c>
      <c r="L418" s="23" t="s">
        <v>844</v>
      </c>
      <c r="M418" s="23" t="s">
        <v>556</v>
      </c>
    </row>
    <row r="419" spans="10:13" x14ac:dyDescent="0.2">
      <c r="J419" s="23" t="s">
        <v>522</v>
      </c>
      <c r="K419" s="23" t="s">
        <v>1151</v>
      </c>
      <c r="L419" s="23" t="s">
        <v>844</v>
      </c>
      <c r="M419" s="23" t="s">
        <v>556</v>
      </c>
    </row>
    <row r="420" spans="10:13" x14ac:dyDescent="0.2">
      <c r="J420" s="23" t="s">
        <v>1152</v>
      </c>
      <c r="K420" s="23" t="s">
        <v>1153</v>
      </c>
      <c r="L420" s="23" t="s">
        <v>844</v>
      </c>
      <c r="M420" s="23" t="s">
        <v>556</v>
      </c>
    </row>
    <row r="421" spans="10:13" x14ac:dyDescent="0.2">
      <c r="J421" s="23" t="s">
        <v>1154</v>
      </c>
      <c r="K421" s="23" t="s">
        <v>1153</v>
      </c>
      <c r="L421" s="23" t="s">
        <v>844</v>
      </c>
      <c r="M421" s="23" t="s">
        <v>556</v>
      </c>
    </row>
    <row r="422" spans="10:13" x14ac:dyDescent="0.2">
      <c r="J422" s="23" t="s">
        <v>1155</v>
      </c>
      <c r="K422" s="23" t="s">
        <v>940</v>
      </c>
      <c r="L422" s="23" t="s">
        <v>844</v>
      </c>
      <c r="M422" s="23" t="s">
        <v>556</v>
      </c>
    </row>
    <row r="423" spans="10:13" x14ac:dyDescent="0.2">
      <c r="J423" s="23" t="s">
        <v>1156</v>
      </c>
      <c r="K423" s="23" t="s">
        <v>940</v>
      </c>
      <c r="L423" s="23" t="s">
        <v>844</v>
      </c>
      <c r="M423" s="23" t="s">
        <v>556</v>
      </c>
    </row>
    <row r="424" spans="10:13" x14ac:dyDescent="0.2">
      <c r="J424" s="23" t="s">
        <v>1157</v>
      </c>
      <c r="K424" s="23" t="s">
        <v>1158</v>
      </c>
      <c r="L424" s="23" t="s">
        <v>844</v>
      </c>
      <c r="M424" s="23" t="s">
        <v>556</v>
      </c>
    </row>
    <row r="425" spans="10:13" x14ac:dyDescent="0.2">
      <c r="J425" s="23" t="s">
        <v>1159</v>
      </c>
      <c r="K425" s="23" t="s">
        <v>1158</v>
      </c>
      <c r="L425" s="23" t="s">
        <v>844</v>
      </c>
      <c r="M425" s="23" t="s">
        <v>556</v>
      </c>
    </row>
    <row r="426" spans="10:13" x14ac:dyDescent="0.2">
      <c r="J426" s="23" t="s">
        <v>1160</v>
      </c>
      <c r="K426" s="23" t="s">
        <v>1158</v>
      </c>
      <c r="L426" s="23" t="s">
        <v>844</v>
      </c>
      <c r="M426" s="23" t="s">
        <v>556</v>
      </c>
    </row>
    <row r="427" spans="10:13" x14ac:dyDescent="0.2">
      <c r="J427" s="23" t="s">
        <v>1161</v>
      </c>
      <c r="K427" s="23" t="s">
        <v>1162</v>
      </c>
      <c r="L427" s="23" t="s">
        <v>844</v>
      </c>
      <c r="M427" s="23" t="s">
        <v>556</v>
      </c>
    </row>
    <row r="428" spans="10:13" x14ac:dyDescent="0.2">
      <c r="J428" s="23" t="s">
        <v>1163</v>
      </c>
      <c r="K428" s="23" t="s">
        <v>1162</v>
      </c>
      <c r="L428" s="23" t="s">
        <v>844</v>
      </c>
      <c r="M428" s="23" t="s">
        <v>556</v>
      </c>
    </row>
    <row r="429" spans="10:13" x14ac:dyDescent="0.2">
      <c r="J429" s="23" t="s">
        <v>1164</v>
      </c>
      <c r="K429" s="23" t="s">
        <v>1162</v>
      </c>
      <c r="L429" s="23" t="s">
        <v>844</v>
      </c>
      <c r="M429" s="23" t="s">
        <v>556</v>
      </c>
    </row>
    <row r="430" spans="10:13" x14ac:dyDescent="0.2">
      <c r="J430" s="23" t="s">
        <v>1165</v>
      </c>
      <c r="K430" s="23" t="s">
        <v>1166</v>
      </c>
      <c r="L430" s="23" t="s">
        <v>844</v>
      </c>
      <c r="M430" s="23" t="s">
        <v>556</v>
      </c>
    </row>
    <row r="431" spans="10:13" x14ac:dyDescent="0.2">
      <c r="J431" s="23" t="s">
        <v>1167</v>
      </c>
      <c r="K431" s="23" t="s">
        <v>1166</v>
      </c>
      <c r="L431" s="23" t="s">
        <v>844</v>
      </c>
      <c r="M431" s="23" t="s">
        <v>556</v>
      </c>
    </row>
    <row r="432" spans="10:13" x14ac:dyDescent="0.2">
      <c r="J432" s="23" t="s">
        <v>1168</v>
      </c>
      <c r="K432" s="23" t="s">
        <v>1166</v>
      </c>
      <c r="L432" s="23" t="s">
        <v>844</v>
      </c>
      <c r="M432" s="23" t="s">
        <v>556</v>
      </c>
    </row>
    <row r="433" spans="10:13" x14ac:dyDescent="0.2">
      <c r="J433" s="23" t="s">
        <v>1169</v>
      </c>
      <c r="K433" s="23" t="s">
        <v>1170</v>
      </c>
      <c r="L433" s="23" t="s">
        <v>844</v>
      </c>
      <c r="M433" s="23" t="s">
        <v>556</v>
      </c>
    </row>
    <row r="434" spans="10:13" x14ac:dyDescent="0.2">
      <c r="J434" s="23" t="s">
        <v>1171</v>
      </c>
      <c r="K434" s="23" t="s">
        <v>1172</v>
      </c>
      <c r="L434" s="23" t="s">
        <v>1173</v>
      </c>
      <c r="M434" s="23" t="s">
        <v>556</v>
      </c>
    </row>
    <row r="435" spans="10:13" x14ac:dyDescent="0.2">
      <c r="J435" s="23" t="s">
        <v>523</v>
      </c>
      <c r="K435" s="23" t="s">
        <v>1174</v>
      </c>
      <c r="L435" s="23" t="s">
        <v>844</v>
      </c>
      <c r="M435" s="23" t="s">
        <v>556</v>
      </c>
    </row>
    <row r="436" spans="10:13" x14ac:dyDescent="0.2">
      <c r="J436" s="23" t="s">
        <v>1175</v>
      </c>
      <c r="K436" s="23" t="s">
        <v>1176</v>
      </c>
      <c r="L436" s="23" t="s">
        <v>844</v>
      </c>
      <c r="M436" s="23" t="s">
        <v>556</v>
      </c>
    </row>
    <row r="437" spans="10:13" x14ac:dyDescent="0.2">
      <c r="J437" s="23" t="s">
        <v>1177</v>
      </c>
      <c r="K437" s="23" t="s">
        <v>1176</v>
      </c>
      <c r="L437" s="23" t="s">
        <v>844</v>
      </c>
      <c r="M437" s="23" t="s">
        <v>556</v>
      </c>
    </row>
    <row r="438" spans="10:13" x14ac:dyDescent="0.2">
      <c r="J438" s="23" t="s">
        <v>1178</v>
      </c>
      <c r="K438" s="23" t="s">
        <v>1176</v>
      </c>
      <c r="L438" s="23" t="s">
        <v>844</v>
      </c>
      <c r="M438" s="23" t="s">
        <v>556</v>
      </c>
    </row>
    <row r="439" spans="10:13" x14ac:dyDescent="0.2">
      <c r="J439" s="23" t="s">
        <v>1179</v>
      </c>
      <c r="K439" s="23" t="s">
        <v>1176</v>
      </c>
      <c r="L439" s="23" t="s">
        <v>1173</v>
      </c>
      <c r="M439" s="23" t="s">
        <v>556</v>
      </c>
    </row>
    <row r="440" spans="10:13" x14ac:dyDescent="0.2">
      <c r="J440" s="23" t="s">
        <v>524</v>
      </c>
      <c r="K440" s="23" t="s">
        <v>1180</v>
      </c>
      <c r="L440" s="23" t="s">
        <v>844</v>
      </c>
      <c r="M440" s="23" t="s">
        <v>556</v>
      </c>
    </row>
    <row r="441" spans="10:13" x14ac:dyDescent="0.2">
      <c r="J441" s="23" t="s">
        <v>525</v>
      </c>
      <c r="K441" s="23" t="s">
        <v>1181</v>
      </c>
      <c r="L441" s="23" t="s">
        <v>844</v>
      </c>
      <c r="M441" s="23" t="s">
        <v>556</v>
      </c>
    </row>
    <row r="442" spans="10:13" x14ac:dyDescent="0.2">
      <c r="J442" s="23" t="s">
        <v>1182</v>
      </c>
      <c r="K442" s="23" t="s">
        <v>1183</v>
      </c>
      <c r="L442" s="23" t="s">
        <v>1173</v>
      </c>
      <c r="M442" s="23" t="s">
        <v>556</v>
      </c>
    </row>
    <row r="443" spans="10:13" x14ac:dyDescent="0.2">
      <c r="J443" s="23" t="s">
        <v>526</v>
      </c>
      <c r="K443" s="23" t="s">
        <v>1184</v>
      </c>
      <c r="L443" s="23" t="s">
        <v>844</v>
      </c>
      <c r="M443" s="23" t="s">
        <v>556</v>
      </c>
    </row>
    <row r="444" spans="10:13" x14ac:dyDescent="0.2">
      <c r="J444" s="23" t="s">
        <v>1185</v>
      </c>
      <c r="K444" s="23" t="s">
        <v>1186</v>
      </c>
      <c r="L444" s="23" t="s">
        <v>844</v>
      </c>
      <c r="M444" s="23" t="s">
        <v>556</v>
      </c>
    </row>
    <row r="445" spans="10:13" x14ac:dyDescent="0.2">
      <c r="J445" s="23" t="s">
        <v>1187</v>
      </c>
      <c r="K445" s="23" t="s">
        <v>1188</v>
      </c>
      <c r="L445" s="23" t="s">
        <v>844</v>
      </c>
      <c r="M445" s="23" t="s">
        <v>556</v>
      </c>
    </row>
    <row r="446" spans="10:13" x14ac:dyDescent="0.2">
      <c r="J446" s="23" t="s">
        <v>1189</v>
      </c>
      <c r="K446" s="23" t="s">
        <v>1188</v>
      </c>
      <c r="L446" s="23" t="s">
        <v>844</v>
      </c>
      <c r="M446" s="23" t="s">
        <v>556</v>
      </c>
    </row>
    <row r="447" spans="10:13" x14ac:dyDescent="0.2">
      <c r="J447" s="23" t="s">
        <v>1190</v>
      </c>
      <c r="K447" s="23" t="s">
        <v>1188</v>
      </c>
      <c r="L447" s="23" t="s">
        <v>844</v>
      </c>
      <c r="M447" s="23" t="s">
        <v>556</v>
      </c>
    </row>
    <row r="448" spans="10:13" x14ac:dyDescent="0.2">
      <c r="J448" s="23" t="s">
        <v>1191</v>
      </c>
      <c r="K448" s="23" t="s">
        <v>1188</v>
      </c>
      <c r="L448" s="23" t="s">
        <v>1173</v>
      </c>
      <c r="M448" s="23" t="s">
        <v>556</v>
      </c>
    </row>
    <row r="449" spans="10:13" x14ac:dyDescent="0.2">
      <c r="J449" s="23" t="s">
        <v>1192</v>
      </c>
      <c r="K449" s="23" t="s">
        <v>1193</v>
      </c>
      <c r="L449" s="23" t="s">
        <v>844</v>
      </c>
      <c r="M449" s="23" t="s">
        <v>556</v>
      </c>
    </row>
    <row r="450" spans="10:13" x14ac:dyDescent="0.2">
      <c r="J450" s="23" t="s">
        <v>1194</v>
      </c>
      <c r="K450" s="23" t="s">
        <v>1193</v>
      </c>
      <c r="L450" s="23" t="s">
        <v>844</v>
      </c>
      <c r="M450" s="23" t="s">
        <v>556</v>
      </c>
    </row>
    <row r="451" spans="10:13" x14ac:dyDescent="0.2">
      <c r="J451" s="23" t="s">
        <v>1195</v>
      </c>
      <c r="K451" s="23" t="s">
        <v>1193</v>
      </c>
      <c r="L451" s="23" t="s">
        <v>844</v>
      </c>
      <c r="M451" s="23" t="s">
        <v>556</v>
      </c>
    </row>
    <row r="452" spans="10:13" x14ac:dyDescent="0.2">
      <c r="J452" s="23" t="s">
        <v>1196</v>
      </c>
      <c r="K452" s="23" t="s">
        <v>1197</v>
      </c>
      <c r="L452" s="23" t="s">
        <v>1173</v>
      </c>
      <c r="M452" s="23" t="s">
        <v>556</v>
      </c>
    </row>
  </sheetData>
  <autoFilter ref="A1:H102" xr:uid="{00000000-0001-0000-0100-000000000000}"/>
  <phoneticPr fontId="6" type="noConversion"/>
  <pageMargins left="0.7" right="0.7" top="0.75" bottom="0.75" header="0.3" footer="0.3"/>
  <pageSetup paperSize="288" orientation="portrait" horizontalDpi="20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木皮</vt:lpstr>
      <vt:lpstr>Sheet2</vt:lpstr>
      <vt:lpstr>Sheet4</vt:lpstr>
      <vt:lpstr>盘点</vt:lpstr>
      <vt:lpstr>原皮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y</dc:creator>
  <cp:lastModifiedBy>Administrator</cp:lastModifiedBy>
  <dcterms:created xsi:type="dcterms:W3CDTF">2026-01-15T13:27:00Z</dcterms:created>
  <dcterms:modified xsi:type="dcterms:W3CDTF">2026-02-07T02:53:39Z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23396504E4714B47AEA3D71AC140FAF3_13</vt:lpwstr>
  </property>
  <property fmtid="{D5CDD505-2E9C-101B-9397-08002B2CF9AE}" pid="3" name="KSOProductBuildVer">
    <vt:lpwstr>2052-12.1.0.22089</vt:lpwstr>
  </property>
</Properties>
</file>